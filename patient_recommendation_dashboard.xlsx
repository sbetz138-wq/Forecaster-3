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tephanbetz/Downloads/"/>
    </mc:Choice>
  </mc:AlternateContent>
  <xr:revisionPtr revIDLastSave="0" documentId="8_{BCE663D0-105B-3B4D-A921-E08D66A2AB5A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Dashboard" sheetId="1" r:id="rId1"/>
    <sheet name="Raw_Data" sheetId="2" r:id="rId2"/>
    <sheet name="Summary_Data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B26" i="3"/>
  <c r="C25" i="3"/>
  <c r="B25" i="3"/>
  <c r="C24" i="3"/>
  <c r="B24" i="3"/>
  <c r="C23" i="3"/>
  <c r="B23" i="3"/>
  <c r="C18" i="3"/>
  <c r="B18" i="3"/>
  <c r="C17" i="3"/>
  <c r="B17" i="3"/>
  <c r="C16" i="3"/>
  <c r="B16" i="3"/>
  <c r="C15" i="3"/>
  <c r="B15" i="3"/>
  <c r="C14" i="3"/>
  <c r="B14" i="3"/>
  <c r="B10" i="3"/>
  <c r="B9" i="3"/>
  <c r="B8" i="3"/>
  <c r="B7" i="3"/>
  <c r="B6" i="3"/>
  <c r="B3" i="3"/>
  <c r="B2" i="3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R74" i="2" s="1"/>
  <c r="Q73" i="2"/>
  <c r="Q72" i="2"/>
  <c r="Q71" i="2"/>
  <c r="Q70" i="2"/>
  <c r="Q69" i="2"/>
  <c r="R69" i="2" s="1"/>
  <c r="Q68" i="2"/>
  <c r="Q67" i="2"/>
  <c r="Q66" i="2"/>
  <c r="Q65" i="2"/>
  <c r="Q64" i="2"/>
  <c r="R64" i="2" s="1"/>
  <c r="Q63" i="2"/>
  <c r="Q62" i="2"/>
  <c r="Q61" i="2"/>
  <c r="Q60" i="2"/>
  <c r="Q59" i="2"/>
  <c r="R59" i="2" s="1"/>
  <c r="Q58" i="2"/>
  <c r="Q57" i="2"/>
  <c r="Q56" i="2"/>
  <c r="Q55" i="2"/>
  <c r="Q54" i="2"/>
  <c r="R54" i="2" s="1"/>
  <c r="Q53" i="2"/>
  <c r="Q52" i="2"/>
  <c r="Q51" i="2"/>
  <c r="R51" i="2" s="1"/>
  <c r="Q50" i="2"/>
  <c r="Q49" i="2"/>
  <c r="Q48" i="2"/>
  <c r="Q47" i="2"/>
  <c r="Q46" i="2"/>
  <c r="Q45" i="2"/>
  <c r="Q44" i="2"/>
  <c r="R44" i="2" s="1"/>
  <c r="Q43" i="2"/>
  <c r="Q42" i="2"/>
  <c r="Q41" i="2"/>
  <c r="Q40" i="2"/>
  <c r="Q39" i="2"/>
  <c r="R39" i="2" s="1"/>
  <c r="Q38" i="2"/>
  <c r="Q37" i="2"/>
  <c r="R37" i="2" s="1"/>
  <c r="Q36" i="2"/>
  <c r="Q35" i="2"/>
  <c r="Q34" i="2"/>
  <c r="Q33" i="2"/>
  <c r="Q32" i="2"/>
  <c r="Q31" i="2"/>
  <c r="Q30" i="2"/>
  <c r="R29" i="2"/>
  <c r="Q29" i="2"/>
  <c r="Q28" i="2"/>
  <c r="Q27" i="2"/>
  <c r="Q26" i="2"/>
  <c r="Q25" i="2"/>
  <c r="Q24" i="2"/>
  <c r="R24" i="2" s="1"/>
  <c r="Q23" i="2"/>
  <c r="Q22" i="2"/>
  <c r="Q21" i="2"/>
  <c r="Q20" i="2"/>
  <c r="Q19" i="2"/>
  <c r="R19" i="2" s="1"/>
  <c r="Q18" i="2"/>
  <c r="Q17" i="2"/>
  <c r="Q16" i="2"/>
  <c r="Q15" i="2"/>
  <c r="R15" i="2" s="1"/>
  <c r="Q14" i="2"/>
  <c r="R14" i="2" s="1"/>
  <c r="Q13" i="2"/>
  <c r="Q12" i="2"/>
  <c r="Q11" i="2"/>
  <c r="Q10" i="2"/>
  <c r="Q9" i="2"/>
  <c r="R53" i="2" s="1"/>
  <c r="R8" i="2"/>
  <c r="Q8" i="2"/>
  <c r="Q7" i="2"/>
  <c r="Q6" i="2"/>
  <c r="Q5" i="2"/>
  <c r="Q4" i="2"/>
  <c r="R84" i="2" s="1"/>
  <c r="Q3" i="2"/>
  <c r="Q2" i="2"/>
  <c r="A40" i="1"/>
  <c r="A39" i="1"/>
  <c r="A38" i="1"/>
  <c r="A37" i="1"/>
  <c r="A36" i="1"/>
  <c r="A35" i="1"/>
  <c r="A34" i="1"/>
  <c r="A33" i="1"/>
  <c r="A32" i="1"/>
  <c r="A31" i="1"/>
  <c r="J11" i="1"/>
  <c r="F11" i="1"/>
  <c r="B11" i="1"/>
  <c r="F6" i="1"/>
  <c r="B6" i="1"/>
  <c r="R58" i="2" l="1"/>
  <c r="R2" i="2"/>
  <c r="R73" i="2"/>
  <c r="R38" i="2"/>
  <c r="R7" i="2"/>
  <c r="R21" i="2"/>
  <c r="R28" i="2"/>
  <c r="R35" i="2"/>
  <c r="R49" i="2"/>
  <c r="R57" i="2"/>
  <c r="R71" i="2"/>
  <c r="R78" i="2"/>
  <c r="R85" i="2"/>
  <c r="R22" i="2"/>
  <c r="R36" i="2"/>
  <c r="R43" i="2"/>
  <c r="R50" i="2"/>
  <c r="R72" i="2"/>
  <c r="R86" i="2"/>
  <c r="R87" i="2"/>
  <c r="R16" i="2"/>
  <c r="R30" i="2"/>
  <c r="R80" i="2"/>
  <c r="R17" i="2"/>
  <c r="R31" i="2"/>
  <c r="R88" i="2"/>
  <c r="R46" i="2"/>
  <c r="R60" i="2"/>
  <c r="R18" i="2"/>
  <c r="R47" i="2"/>
  <c r="R61" i="2"/>
  <c r="R75" i="2"/>
  <c r="R4" i="2"/>
  <c r="R12" i="2"/>
  <c r="R26" i="2"/>
  <c r="R33" i="2"/>
  <c r="R40" i="2"/>
  <c r="R62" i="2"/>
  <c r="R76" i="2"/>
  <c r="R83" i="2"/>
  <c r="R65" i="2"/>
  <c r="R23" i="2"/>
  <c r="R52" i="2"/>
  <c r="R67" i="2"/>
  <c r="R81" i="2"/>
  <c r="R10" i="2"/>
  <c r="R32" i="2"/>
  <c r="R82" i="2"/>
  <c r="R25" i="2"/>
  <c r="R68" i="2"/>
  <c r="B5" i="3"/>
  <c r="B4" i="3"/>
  <c r="J6" i="1" s="1"/>
  <c r="R5" i="2"/>
  <c r="R27" i="2"/>
  <c r="R41" i="2"/>
  <c r="R48" i="2"/>
  <c r="R55" i="2"/>
  <c r="R77" i="2"/>
  <c r="R79" i="2"/>
  <c r="R66" i="2"/>
  <c r="R9" i="2"/>
  <c r="R45" i="2"/>
  <c r="R3" i="2"/>
  <c r="R11" i="2"/>
  <c r="R6" i="2"/>
  <c r="R13" i="2"/>
  <c r="R20" i="2"/>
  <c r="R34" i="2"/>
  <c r="R42" i="2"/>
  <c r="R56" i="2"/>
  <c r="R63" i="2"/>
  <c r="R70" i="2"/>
  <c r="G41" i="3" l="1"/>
  <c r="G40" i="1" s="1"/>
  <c r="C40" i="3"/>
  <c r="C39" i="1" s="1"/>
  <c r="E38" i="3"/>
  <c r="E37" i="1" s="1"/>
  <c r="G36" i="3"/>
  <c r="G35" i="1" s="1"/>
  <c r="C35" i="3"/>
  <c r="C34" i="1" s="1"/>
  <c r="E33" i="3"/>
  <c r="E32" i="1" s="1"/>
  <c r="F41" i="3"/>
  <c r="F40" i="1" s="1"/>
  <c r="B40" i="3"/>
  <c r="B39" i="1" s="1"/>
  <c r="D38" i="3"/>
  <c r="D37" i="1" s="1"/>
  <c r="F36" i="3"/>
  <c r="F35" i="1" s="1"/>
  <c r="B35" i="3"/>
  <c r="B34" i="1" s="1"/>
  <c r="D33" i="3"/>
  <c r="D32" i="1" s="1"/>
  <c r="E41" i="3"/>
  <c r="E40" i="1" s="1"/>
  <c r="G39" i="3"/>
  <c r="G38" i="1" s="1"/>
  <c r="C38" i="3"/>
  <c r="C37" i="1" s="1"/>
  <c r="E36" i="3"/>
  <c r="E35" i="1" s="1"/>
  <c r="G34" i="3"/>
  <c r="G33" i="1" s="1"/>
  <c r="C33" i="3"/>
  <c r="C32" i="1" s="1"/>
  <c r="D41" i="3"/>
  <c r="D40" i="1" s="1"/>
  <c r="F39" i="3"/>
  <c r="F38" i="1" s="1"/>
  <c r="B38" i="3"/>
  <c r="B37" i="1" s="1"/>
  <c r="D36" i="3"/>
  <c r="D35" i="1" s="1"/>
  <c r="F34" i="3"/>
  <c r="F33" i="1" s="1"/>
  <c r="B33" i="3"/>
  <c r="B32" i="1" s="1"/>
  <c r="C41" i="3"/>
  <c r="C40" i="1" s="1"/>
  <c r="E39" i="3"/>
  <c r="E38" i="1" s="1"/>
  <c r="G37" i="3"/>
  <c r="G36" i="1" s="1"/>
  <c r="C36" i="3"/>
  <c r="C35" i="1" s="1"/>
  <c r="E34" i="3"/>
  <c r="E33" i="1" s="1"/>
  <c r="G32" i="3"/>
  <c r="G31" i="1" s="1"/>
  <c r="B41" i="3"/>
  <c r="B40" i="1" s="1"/>
  <c r="D39" i="3"/>
  <c r="D38" i="1" s="1"/>
  <c r="F37" i="3"/>
  <c r="F36" i="1" s="1"/>
  <c r="B36" i="3"/>
  <c r="B35" i="1" s="1"/>
  <c r="D34" i="3"/>
  <c r="D33" i="1" s="1"/>
  <c r="F32" i="3"/>
  <c r="F31" i="1" s="1"/>
  <c r="G40" i="3"/>
  <c r="G39" i="1" s="1"/>
  <c r="C39" i="3"/>
  <c r="C38" i="1" s="1"/>
  <c r="E37" i="3"/>
  <c r="E36" i="1" s="1"/>
  <c r="G35" i="3"/>
  <c r="G34" i="1" s="1"/>
  <c r="C34" i="3"/>
  <c r="C33" i="1" s="1"/>
  <c r="E32" i="3"/>
  <c r="E31" i="1" s="1"/>
  <c r="F40" i="3"/>
  <c r="F39" i="1" s="1"/>
  <c r="B39" i="3"/>
  <c r="B38" i="1" s="1"/>
  <c r="D37" i="3"/>
  <c r="D36" i="1" s="1"/>
  <c r="F35" i="3"/>
  <c r="F34" i="1" s="1"/>
  <c r="B34" i="3"/>
  <c r="B33" i="1" s="1"/>
  <c r="D32" i="3"/>
  <c r="D31" i="1" s="1"/>
  <c r="E40" i="3"/>
  <c r="E39" i="1" s="1"/>
  <c r="G38" i="3"/>
  <c r="G37" i="1" s="1"/>
  <c r="C37" i="3"/>
  <c r="C36" i="1" s="1"/>
  <c r="E35" i="3"/>
  <c r="E34" i="1" s="1"/>
  <c r="G33" i="3"/>
  <c r="G32" i="1" s="1"/>
  <c r="C32" i="3"/>
  <c r="C31" i="1" s="1"/>
  <c r="D40" i="3"/>
  <c r="D39" i="1" s="1"/>
  <c r="F38" i="3"/>
  <c r="F37" i="1" s="1"/>
  <c r="B37" i="3"/>
  <c r="B36" i="1" s="1"/>
  <c r="D35" i="3"/>
  <c r="D34" i="1" s="1"/>
  <c r="F33" i="3"/>
  <c r="F32" i="1" s="1"/>
  <c r="B32" i="3"/>
  <c r="B31" i="1" s="1"/>
</calcChain>
</file>

<file path=xl/sharedStrings.xml><?xml version="1.0" encoding="utf-8"?>
<sst xmlns="http://schemas.openxmlformats.org/spreadsheetml/2006/main" count="159" uniqueCount="48">
  <si>
    <t>Patient Recommendation Dashboard</t>
  </si>
  <si>
    <t>Overview of recommended patient changes based on allocation, utilization, and clinical indicators</t>
  </si>
  <si>
    <t>Total Patients</t>
  </si>
  <si>
    <t>Patients Needing Change</t>
  </si>
  <si>
    <t>Within Allocation</t>
  </si>
  <si>
    <t>Total Excess Days</t>
  </si>
  <si>
    <t>Avg Excess Days</t>
  </si>
  <si>
    <t>Avg Mean Daily Risk</t>
  </si>
  <si>
    <t>Current LOC Distribution</t>
  </si>
  <si>
    <t>Recommendation Mix</t>
  </si>
  <si>
    <t>Top 10 Highest-Priority Patients</t>
  </si>
  <si>
    <t>Rank</t>
  </si>
  <si>
    <t>Client ID</t>
  </si>
  <si>
    <t>Current LOC</t>
  </si>
  <si>
    <t>Excess Days</t>
  </si>
  <si>
    <t>Mean Daily Risk</t>
  </si>
  <si>
    <t>Recommendation</t>
  </si>
  <si>
    <t>Priority Score</t>
  </si>
  <si>
    <t>How to use this dashboard
• Focus first on patients with the highest priority score.
• Recommendation mix shows where the biggest step-up demand is concentrated.
• Current LOC distribution shows how the current panel is spread across Steps 3–6.
Priority score = Excess Days × (1 + Mean Daily Risk + Mean BPRS)
This score is a sorting aid for review, not a clinical decision rule.</t>
  </si>
  <si>
    <t>Total Days</t>
  </si>
  <si>
    <t>ED Visits</t>
  </si>
  <si>
    <t>Inpatient Admissions</t>
  </si>
  <si>
    <t>Max Daily Risk</t>
  </si>
  <si>
    <t>Days Med Mgmt = 0</t>
  </si>
  <si>
    <t>Max Consecutive Med Miss</t>
  </si>
  <si>
    <t>Mean BPRS</t>
  </si>
  <si>
    <t>Allocation</t>
  </si>
  <si>
    <t>Annual Allocation</t>
  </si>
  <si>
    <t>Episode Days</t>
  </si>
  <si>
    <t>Exceeds Allocation</t>
  </si>
  <si>
    <t>Priority Rank</t>
  </si>
  <si>
    <t>Upgrade Step 3 → Step 4</t>
  </si>
  <si>
    <t>Upgrade Step 4 → Step Inpatient 5</t>
  </si>
  <si>
    <t>Upgrade Step Inpt 5 → Step Inpt 6</t>
  </si>
  <si>
    <t>Within allocation</t>
  </si>
  <si>
    <t>Highest step — escalate to clinical review</t>
  </si>
  <si>
    <t>Metric</t>
  </si>
  <si>
    <t>Value</t>
  </si>
  <si>
    <t>% Needing Change</t>
  </si>
  <si>
    <t>Avg Excess Days (Exceeded Only)</t>
  </si>
  <si>
    <t>Avg Mean BPRS</t>
  </si>
  <si>
    <t>Highest Excess Days</t>
  </si>
  <si>
    <t>Patients</t>
  </si>
  <si>
    <t>Chart Label</t>
  </si>
  <si>
    <t>Inpt 5 → 6</t>
  </si>
  <si>
    <t>Step 3 → 4</t>
  </si>
  <si>
    <t>Step 4 → Inpt 5</t>
  </si>
  <si>
    <t>Highest step /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</si>
</sst>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20"/>
      <color rgb="FFFFFFFF"/>
      <name val="Calibri"/>
      <family val="2"/>
    </font>
    <font>
      <sz val="11"/>
      <color rgb="FF1F2937"/>
      <name val="Calibri"/>
      <family val="2"/>
    </font>
    <font>
      <b/>
      <sz val="10"/>
      <color rgb="FF1F2937"/>
      <name val="Calibri"/>
      <family val="2"/>
    </font>
    <font>
      <b/>
      <sz val="18"/>
      <color rgb="FF173F5F"/>
      <name val="Calibri"/>
      <family val="2"/>
    </font>
    <font>
      <b/>
      <sz val="12"/>
      <color rgb="FFFFFFFF"/>
      <name val="Calibri"/>
      <family val="2"/>
    </font>
    <font>
      <sz val="10"/>
      <color rgb="FF1F2937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FFF8E8"/>
      </patternFill>
    </fill>
    <fill>
      <patternFill patternType="solid">
        <fgColor rgb="FFF4F6F8"/>
      </patternFill>
    </fill>
    <fill>
      <patternFill patternType="solid">
        <fgColor rgb="FFEAF2F8"/>
      </patternFill>
    </fill>
    <fill>
      <patternFill patternType="solid">
        <fgColor rgb="FFFDEBD0"/>
      </patternFill>
    </fill>
    <fill>
      <patternFill patternType="solid">
        <fgColor rgb="FFE8F5E9"/>
      </patternFill>
    </fill>
    <fill>
      <patternFill patternType="solid">
        <fgColor rgb="FFFDEDEC"/>
      </patternFill>
    </fill>
    <fill>
      <patternFill patternType="solid">
        <fgColor rgb="FFDDF3F0"/>
      </patternFill>
    </fill>
    <fill>
      <patternFill patternType="solid">
        <fgColor rgb="FF4F81BD"/>
      </patternFill>
    </fill>
    <fill>
      <patternFill patternType="solid">
        <fgColor rgb="FFFFF5E6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173F5F"/>
      </bottom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173F5F"/>
      </top>
      <bottom/>
      <diagonal/>
    </border>
    <border>
      <left style="thin">
        <color rgb="FFD1D5DB"/>
      </left>
      <right style="thin">
        <color rgb="FFD1D5DB"/>
      </right>
      <top/>
      <bottom style="medium">
        <color rgb="FF173F5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medium">
        <color rgb="FF173F5F"/>
      </top>
      <bottom/>
      <diagonal/>
    </border>
    <border>
      <left/>
      <right style="thin">
        <color rgb="FFD1D5DB"/>
      </right>
      <top style="medium">
        <color rgb="FF173F5F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medium">
        <color rgb="FF173F5F"/>
      </bottom>
      <diagonal/>
    </border>
    <border>
      <left/>
      <right/>
      <top/>
      <bottom style="medium">
        <color rgb="FF173F5F"/>
      </bottom>
      <diagonal/>
    </border>
    <border>
      <left/>
      <right style="thin">
        <color rgb="FFD1D5DB"/>
      </right>
      <top/>
      <bottom style="medium">
        <color rgb="FF173F5F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10" borderId="1" xfId="0" applyFont="1" applyFill="1" applyBorder="1" applyAlignment="1">
      <alignment horizontal="center"/>
    </xf>
    <xf numFmtId="0" fontId="0" fillId="11" borderId="2" xfId="0" applyFill="1" applyBorder="1"/>
    <xf numFmtId="0" fontId="0" fillId="0" borderId="2" xfId="0" applyBorder="1"/>
    <xf numFmtId="165" fontId="0" fillId="0" borderId="2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65" fontId="0" fillId="3" borderId="2" xfId="0" applyNumberFormat="1" applyFill="1" applyBorder="1"/>
    <xf numFmtId="2" fontId="0" fillId="3" borderId="2" xfId="0" applyNumberFormat="1" applyFill="1" applyBorder="1"/>
    <xf numFmtId="164" fontId="2" fillId="3" borderId="0" xfId="0" applyNumberFormat="1" applyFont="1" applyFill="1"/>
    <xf numFmtId="0" fontId="2" fillId="3" borderId="0" xfId="0" applyFont="1" applyFill="1"/>
    <xf numFmtId="2" fontId="0" fillId="0" borderId="2" xfId="0" applyNumberFormat="1" applyBorder="1"/>
    <xf numFmtId="164" fontId="2" fillId="0" borderId="0" xfId="0" applyNumberFormat="1" applyFont="1"/>
    <xf numFmtId="0" fontId="2" fillId="0" borderId="0" xfId="0" applyFont="1"/>
    <xf numFmtId="0" fontId="1" fillId="2" borderId="0" xfId="0" applyFont="1" applyFill="1"/>
    <xf numFmtId="165" fontId="0" fillId="0" borderId="0" xfId="0" applyNumberFormat="1"/>
    <xf numFmtId="2" fontId="0" fillId="0" borderId="0" xfId="0" applyNumberFormat="1"/>
    <xf numFmtId="165" fontId="0" fillId="11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vertical="center" wrapText="1"/>
    </xf>
    <xf numFmtId="164" fontId="0" fillId="11" borderId="2" xfId="0" applyNumberForma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5" fillId="9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64" fontId="6" fillId="9" borderId="4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" fontId="6" fillId="5" borderId="4" xfId="0" applyNumberFormat="1" applyFont="1" applyFill="1" applyBorder="1" applyAlignment="1">
      <alignment horizontal="center" vertical="center"/>
    </xf>
    <xf numFmtId="1" fontId="6" fillId="7" borderId="4" xfId="0" applyNumberFormat="1" applyFont="1" applyFill="1" applyBorder="1" applyAlignment="1">
      <alignment horizontal="center" vertical="center"/>
    </xf>
    <xf numFmtId="1" fontId="6" fillId="6" borderId="4" xfId="0" applyNumberFormat="1" applyFont="1" applyFill="1" applyBorder="1" applyAlignment="1">
      <alignment horizontal="center" vertical="center"/>
    </xf>
    <xf numFmtId="165" fontId="6" fillId="5" borderId="4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top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7" fillId="2" borderId="0" xfId="0" applyFont="1" applyFill="1" applyAlignment="1">
      <alignment horizontal="left" vertical="center"/>
    </xf>
    <xf numFmtId="1" fontId="6" fillId="8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Patients by Current LOC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Summary_Data!$B$22</c:f>
              <c:strCache>
                <c:ptCount val="1"/>
                <c:pt idx="0">
                  <c:v>Patients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Summary_Data!$A$23:$A$26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cat>
          <c:val>
            <c:numRef>
              <c:f>Summary_Data!$B$23:$B$26</c:f>
              <c:numCache>
                <c:formatCode>General</c:formatCode>
                <c:ptCount val="4"/>
                <c:pt idx="0">
                  <c:v>31</c:v>
                </c:pt>
                <c:pt idx="1">
                  <c:v>23</c:v>
                </c:pt>
                <c:pt idx="2">
                  <c:v>25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F-2A4C-A190-700A4E0C0AA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r>
              <a:rPr lang="en-US"/>
              <a:t>Patients by Recommendation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Summary_Data!$B$13</c:f>
              <c:strCache>
                <c:ptCount val="1"/>
                <c:pt idx="0">
                  <c:v>Patients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Summary_Data!$D$14:$D$18</c:f>
              <c:strCache>
                <c:ptCount val="5"/>
                <c:pt idx="0">
                  <c:v>Inpt 5 → 6</c:v>
                </c:pt>
                <c:pt idx="1">
                  <c:v>Step 3 → 4</c:v>
                </c:pt>
                <c:pt idx="2">
                  <c:v>Step 4 → Inpt 5</c:v>
                </c:pt>
                <c:pt idx="3">
                  <c:v>Within allocation</c:v>
                </c:pt>
                <c:pt idx="4">
                  <c:v>Highest step / review</c:v>
                </c:pt>
              </c:strCache>
            </c:strRef>
          </c:cat>
          <c:val>
            <c:numRef>
              <c:f>Summary_Data!$B$14:$B$18</c:f>
              <c:numCache>
                <c:formatCode>General</c:formatCode>
                <c:ptCount val="5"/>
                <c:pt idx="0">
                  <c:v>25</c:v>
                </c:pt>
                <c:pt idx="1">
                  <c:v>24</c:v>
                </c:pt>
                <c:pt idx="2">
                  <c:v>22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4-7E4C-B432-B8D013F34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Patients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Recommendation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15</xdr:row>
      <xdr:rowOff>63500</xdr:rowOff>
    </xdr:from>
    <xdr:to>
      <xdr:col>5</xdr:col>
      <xdr:colOff>1803400</xdr:colOff>
      <xdr:row>27</xdr:row>
      <xdr:rowOff>1739900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914400</xdr:colOff>
      <xdr:row>15</xdr:row>
      <xdr:rowOff>63500</xdr:rowOff>
    </xdr:from>
    <xdr:to>
      <xdr:col>16</xdr:col>
      <xdr:colOff>241300</xdr:colOff>
      <xdr:row>27</xdr:row>
      <xdr:rowOff>1066800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ientSummary" displayName="PatientSummary" ref="A1:R88">
  <autoFilter ref="A1:R88" xr:uid="{00000000-0009-0000-0100-000001000000}"/>
  <tableColumns count="18">
    <tableColumn id="1" xr3:uid="{00000000-0010-0000-0000-000001000000}" name="Client ID"/>
    <tableColumn id="2" xr3:uid="{00000000-0010-0000-0000-000002000000}" name="Current LOC"/>
    <tableColumn id="3" xr3:uid="{00000000-0010-0000-0000-000003000000}" name="Total Days"/>
    <tableColumn id="4" xr3:uid="{00000000-0010-0000-0000-000004000000}" name="ED Visits"/>
    <tableColumn id="5" xr3:uid="{00000000-0010-0000-0000-000005000000}" name="Inpatient Admissions"/>
    <tableColumn id="6" xr3:uid="{00000000-0010-0000-0000-000006000000}" name="Mean Daily Risk"/>
    <tableColumn id="7" xr3:uid="{00000000-0010-0000-0000-000007000000}" name="Max Daily Risk"/>
    <tableColumn id="8" xr3:uid="{00000000-0010-0000-0000-000008000000}" name="Days Med Mgmt = 0"/>
    <tableColumn id="9" xr3:uid="{00000000-0010-0000-0000-000009000000}" name="Max Consecutive Med Miss"/>
    <tableColumn id="10" xr3:uid="{00000000-0010-0000-0000-00000A000000}" name="Mean BPRS"/>
    <tableColumn id="11" xr3:uid="{00000000-0010-0000-0000-00000B000000}" name="Allocation"/>
    <tableColumn id="12" xr3:uid="{00000000-0010-0000-0000-00000C000000}" name="Annual Allocation"/>
    <tableColumn id="13" xr3:uid="{00000000-0010-0000-0000-00000D000000}" name="Episode Days"/>
    <tableColumn id="14" xr3:uid="{00000000-0010-0000-0000-00000E000000}" name="Exceeds Allocation"/>
    <tableColumn id="15" xr3:uid="{00000000-0010-0000-0000-00000F000000}" name="Excess Days"/>
    <tableColumn id="16" xr3:uid="{00000000-0010-0000-0000-000010000000}" name="Recommendation"/>
    <tableColumn id="17" xr3:uid="{00000000-0010-0000-0000-000011000000}" name="Priority Score"/>
    <tableColumn id="18" xr3:uid="{00000000-0010-0000-0000-000012000000}" name="Priority 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showGridLines="0" tabSelected="1" workbookViewId="0">
      <selection activeCell="F5" sqref="F5:H5"/>
    </sheetView>
  </sheetViews>
  <sheetFormatPr baseColWidth="10" defaultColWidth="8.83203125" defaultRowHeight="15" x14ac:dyDescent="0.2"/>
  <cols>
    <col min="1" max="1" width="16.1640625" customWidth="1"/>
    <col min="2" max="4" width="12" customWidth="1"/>
    <col min="5" max="5" width="13" customWidth="1"/>
    <col min="6" max="6" width="24" customWidth="1"/>
    <col min="7" max="7" width="13" customWidth="1"/>
    <col min="8" max="11" width="14" customWidth="1"/>
    <col min="12" max="12" width="56.6640625" customWidth="1"/>
    <col min="13" max="14" width="14" customWidth="1"/>
  </cols>
  <sheetData>
    <row r="1" spans="1:14" ht="22" customHeight="1" x14ac:dyDescent="0.2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2" customHeight="1" x14ac:dyDescent="0.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2" customHeight="1" x14ac:dyDescent="0.2">
      <c r="A3" s="31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22" customHeight="1" x14ac:dyDescent="0.2"/>
    <row r="5" spans="1:14" ht="22" customHeight="1" x14ac:dyDescent="0.2">
      <c r="B5" s="30" t="s">
        <v>2</v>
      </c>
      <c r="C5" s="24"/>
      <c r="D5" s="25"/>
      <c r="F5" s="32" t="s">
        <v>3</v>
      </c>
      <c r="G5" s="24"/>
      <c r="H5" s="25"/>
      <c r="J5" s="29" t="s">
        <v>4</v>
      </c>
      <c r="K5" s="24"/>
      <c r="L5" s="25"/>
    </row>
    <row r="6" spans="1:14" ht="22" customHeight="1" x14ac:dyDescent="0.2">
      <c r="B6" s="39">
        <f>Summary_Data!B2</f>
        <v>87</v>
      </c>
      <c r="C6" s="27"/>
      <c r="D6" s="34"/>
      <c r="F6" s="41">
        <f>Summary_Data!B3</f>
        <v>0</v>
      </c>
      <c r="G6" s="27"/>
      <c r="H6" s="34"/>
      <c r="J6" s="40">
        <f>Summary_Data!B4</f>
        <v>87</v>
      </c>
      <c r="K6" s="27"/>
      <c r="L6" s="34"/>
    </row>
    <row r="7" spans="1:14" ht="22" customHeight="1" x14ac:dyDescent="0.2">
      <c r="B7" s="35"/>
      <c r="C7" s="27"/>
      <c r="D7" s="34"/>
      <c r="F7" s="35"/>
      <c r="G7" s="27"/>
      <c r="H7" s="34"/>
      <c r="J7" s="35"/>
      <c r="K7" s="27"/>
      <c r="L7" s="34"/>
    </row>
    <row r="8" spans="1:14" ht="22" customHeight="1" x14ac:dyDescent="0.2">
      <c r="B8" s="36"/>
      <c r="C8" s="37"/>
      <c r="D8" s="38"/>
      <c r="F8" s="36"/>
      <c r="G8" s="37"/>
      <c r="H8" s="38"/>
      <c r="J8" s="36"/>
      <c r="K8" s="37"/>
      <c r="L8" s="38"/>
    </row>
    <row r="9" spans="1:14" ht="22" customHeight="1" x14ac:dyDescent="0.2"/>
    <row r="10" spans="1:14" ht="22" customHeight="1" x14ac:dyDescent="0.2">
      <c r="B10" s="23" t="s">
        <v>5</v>
      </c>
      <c r="C10" s="24"/>
      <c r="D10" s="25"/>
      <c r="F10" s="28" t="s">
        <v>6</v>
      </c>
      <c r="G10" s="24"/>
      <c r="H10" s="25"/>
      <c r="J10" s="30" t="s">
        <v>7</v>
      </c>
      <c r="K10" s="24"/>
      <c r="L10" s="25"/>
    </row>
    <row r="11" spans="1:14" ht="22" customHeight="1" x14ac:dyDescent="0.2">
      <c r="B11" s="50">
        <f>Summary_Data!B6</f>
        <v>2917</v>
      </c>
      <c r="C11" s="27"/>
      <c r="D11" s="34"/>
      <c r="F11" s="33">
        <f>Summary_Data!B7</f>
        <v>0</v>
      </c>
      <c r="G11" s="27"/>
      <c r="H11" s="34"/>
      <c r="J11" s="42">
        <f>Summary_Data!B8</f>
        <v>0.10007307350006499</v>
      </c>
      <c r="K11" s="27"/>
      <c r="L11" s="34"/>
    </row>
    <row r="12" spans="1:14" ht="22" customHeight="1" x14ac:dyDescent="0.2">
      <c r="B12" s="35"/>
      <c r="C12" s="27"/>
      <c r="D12" s="34"/>
      <c r="F12" s="35"/>
      <c r="G12" s="27"/>
      <c r="H12" s="34"/>
      <c r="J12" s="35"/>
      <c r="K12" s="27"/>
      <c r="L12" s="34"/>
    </row>
    <row r="13" spans="1:14" ht="22" customHeight="1" x14ac:dyDescent="0.2">
      <c r="B13" s="36"/>
      <c r="C13" s="37"/>
      <c r="D13" s="38"/>
      <c r="F13" s="36"/>
      <c r="G13" s="37"/>
      <c r="H13" s="38"/>
      <c r="J13" s="36"/>
      <c r="K13" s="37"/>
      <c r="L13" s="38"/>
    </row>
    <row r="14" spans="1:14" ht="22" customHeight="1" x14ac:dyDescent="0.2"/>
    <row r="15" spans="1:14" ht="22" customHeight="1" x14ac:dyDescent="0.2">
      <c r="A15" s="49" t="s">
        <v>8</v>
      </c>
      <c r="B15" s="27"/>
      <c r="C15" s="27"/>
      <c r="D15" s="27"/>
      <c r="E15" s="27"/>
      <c r="F15" s="27"/>
      <c r="H15" s="49" t="s">
        <v>9</v>
      </c>
      <c r="I15" s="27"/>
      <c r="J15" s="27"/>
      <c r="K15" s="27"/>
      <c r="L15" s="27"/>
      <c r="M15" s="27"/>
      <c r="N15" s="27"/>
    </row>
    <row r="16" spans="1:14" ht="22" customHeight="1" x14ac:dyDescent="0.2"/>
    <row r="17" spans="1:14" ht="22" customHeight="1" x14ac:dyDescent="0.2"/>
    <row r="18" spans="1:14" ht="22" customHeight="1" x14ac:dyDescent="0.2"/>
    <row r="19" spans="1:14" ht="22" customHeight="1" x14ac:dyDescent="0.2"/>
    <row r="20" spans="1:14" ht="22" customHeight="1" x14ac:dyDescent="0.2"/>
    <row r="21" spans="1:14" ht="22" customHeight="1" x14ac:dyDescent="0.2"/>
    <row r="22" spans="1:14" ht="22" customHeight="1" x14ac:dyDescent="0.2"/>
    <row r="23" spans="1:14" ht="22" customHeight="1" x14ac:dyDescent="0.2"/>
    <row r="24" spans="1:14" ht="22" customHeight="1" x14ac:dyDescent="0.2"/>
    <row r="25" spans="1:14" ht="22" customHeight="1" x14ac:dyDescent="0.2"/>
    <row r="26" spans="1:14" ht="22" customHeight="1" x14ac:dyDescent="0.2"/>
    <row r="27" spans="1:14" ht="22" customHeight="1" x14ac:dyDescent="0.2"/>
    <row r="28" spans="1:14" ht="146" customHeight="1" x14ac:dyDescent="0.2"/>
    <row r="29" spans="1:14" ht="22" customHeight="1" x14ac:dyDescent="0.2">
      <c r="A29" s="49" t="s">
        <v>10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 spans="1:14" ht="22" customHeight="1" x14ac:dyDescent="0.2">
      <c r="A30" s="1" t="s">
        <v>11</v>
      </c>
      <c r="B30" s="1" t="s">
        <v>12</v>
      </c>
      <c r="C30" s="1" t="s">
        <v>13</v>
      </c>
      <c r="D30" s="1" t="s">
        <v>14</v>
      </c>
      <c r="E30" s="1" t="s">
        <v>15</v>
      </c>
      <c r="F30" s="1" t="s">
        <v>16</v>
      </c>
      <c r="G30" s="1" t="s">
        <v>17</v>
      </c>
      <c r="I30" s="43" t="s">
        <v>18</v>
      </c>
      <c r="J30" s="44"/>
      <c r="K30" s="44"/>
      <c r="L30" s="44"/>
      <c r="M30" s="44"/>
      <c r="N30" s="45"/>
    </row>
    <row r="31" spans="1:14" ht="28" customHeight="1" x14ac:dyDescent="0.2">
      <c r="A31" s="2">
        <f>Summary_Data!A32</f>
        <v>1</v>
      </c>
      <c r="B31" s="2">
        <f>Summary_Data!B32</f>
        <v>80</v>
      </c>
      <c r="C31" s="2">
        <f>Summary_Data!C32</f>
        <v>5</v>
      </c>
      <c r="D31" s="2">
        <f>Summary_Data!D32</f>
        <v>129</v>
      </c>
      <c r="E31" s="17">
        <f>Summary_Data!E32</f>
        <v>0.1531725294142221</v>
      </c>
      <c r="F31" s="18" t="str">
        <f>Summary_Data!F32</f>
        <v>Upgrade Step Inpt 5 → Step Inpt 6</v>
      </c>
      <c r="G31" s="19">
        <f>Summary_Data!G32</f>
        <v>250.88425629443466</v>
      </c>
      <c r="I31" s="35"/>
      <c r="J31" s="27"/>
      <c r="K31" s="27"/>
      <c r="L31" s="27"/>
      <c r="M31" s="27"/>
      <c r="N31" s="34"/>
    </row>
    <row r="32" spans="1:14" ht="28" customHeight="1" x14ac:dyDescent="0.2">
      <c r="A32" s="2">
        <f>Summary_Data!A33</f>
        <v>2</v>
      </c>
      <c r="B32" s="2">
        <f>Summary_Data!B33</f>
        <v>25</v>
      </c>
      <c r="C32" s="2">
        <f>Summary_Data!C33</f>
        <v>5</v>
      </c>
      <c r="D32" s="2">
        <f>Summary_Data!D33</f>
        <v>116</v>
      </c>
      <c r="E32" s="17">
        <f>Summary_Data!E33</f>
        <v>0.1531413557553398</v>
      </c>
      <c r="F32" s="18" t="str">
        <f>Summary_Data!F33</f>
        <v>Upgrade Step Inpt 5 → Step Inpt 6</v>
      </c>
      <c r="G32" s="19">
        <f>Summary_Data!G33</f>
        <v>230.43106393428607</v>
      </c>
      <c r="I32" s="35"/>
      <c r="J32" s="27"/>
      <c r="K32" s="27"/>
      <c r="L32" s="27"/>
      <c r="M32" s="27"/>
      <c r="N32" s="34"/>
    </row>
    <row r="33" spans="1:14" ht="28" customHeight="1" x14ac:dyDescent="0.2">
      <c r="A33" s="2">
        <f>Summary_Data!A34</f>
        <v>3</v>
      </c>
      <c r="B33" s="2">
        <f>Summary_Data!B34</f>
        <v>22</v>
      </c>
      <c r="C33" s="2">
        <f>Summary_Data!C34</f>
        <v>5</v>
      </c>
      <c r="D33" s="2">
        <f>Summary_Data!D34</f>
        <v>116</v>
      </c>
      <c r="E33" s="17">
        <f>Summary_Data!E34</f>
        <v>0.15223186684144341</v>
      </c>
      <c r="F33" s="18" t="str">
        <f>Summary_Data!F34</f>
        <v>Upgrade Step Inpt 5 → Step Inpt 6</v>
      </c>
      <c r="G33" s="19">
        <f>Summary_Data!G34</f>
        <v>227.90889655360746</v>
      </c>
      <c r="I33" s="35"/>
      <c r="J33" s="27"/>
      <c r="K33" s="27"/>
      <c r="L33" s="27"/>
      <c r="M33" s="27"/>
      <c r="N33" s="34"/>
    </row>
    <row r="34" spans="1:14" ht="28" customHeight="1" x14ac:dyDescent="0.2">
      <c r="A34" s="3">
        <f>Summary_Data!A35</f>
        <v>4</v>
      </c>
      <c r="B34" s="3">
        <f>Summary_Data!B35</f>
        <v>73</v>
      </c>
      <c r="C34" s="3">
        <f>Summary_Data!C35</f>
        <v>5</v>
      </c>
      <c r="D34" s="3">
        <f>Summary_Data!D35</f>
        <v>114</v>
      </c>
      <c r="E34" s="20">
        <f>Summary_Data!E35</f>
        <v>0.13796167668327131</v>
      </c>
      <c r="F34" s="21" t="str">
        <f>Summary_Data!F35</f>
        <v>Upgrade Step Inpt 5 → Step Inpt 6</v>
      </c>
      <c r="G34" s="22">
        <f>Summary_Data!G35</f>
        <v>222.35263114189294</v>
      </c>
      <c r="I34" s="35"/>
      <c r="J34" s="27"/>
      <c r="K34" s="27"/>
      <c r="L34" s="27"/>
      <c r="M34" s="27"/>
      <c r="N34" s="34"/>
    </row>
    <row r="35" spans="1:14" ht="28" customHeight="1" x14ac:dyDescent="0.2">
      <c r="A35" s="3">
        <f>Summary_Data!A36</f>
        <v>5</v>
      </c>
      <c r="B35" s="3">
        <f>Summary_Data!B36</f>
        <v>44</v>
      </c>
      <c r="C35" s="3">
        <f>Summary_Data!C36</f>
        <v>5</v>
      </c>
      <c r="D35" s="3">
        <f>Summary_Data!D36</f>
        <v>106</v>
      </c>
      <c r="E35" s="20">
        <f>Summary_Data!E36</f>
        <v>0.1510121654510887</v>
      </c>
      <c r="F35" s="21" t="str">
        <f>Summary_Data!F36</f>
        <v>Upgrade Step Inpt 5 → Step Inpt 6</v>
      </c>
      <c r="G35" s="22">
        <f>Summary_Data!G36</f>
        <v>208.13228953781541</v>
      </c>
      <c r="I35" s="35"/>
      <c r="J35" s="27"/>
      <c r="K35" s="27"/>
      <c r="L35" s="27"/>
      <c r="M35" s="27"/>
      <c r="N35" s="34"/>
    </row>
    <row r="36" spans="1:14" ht="28" customHeight="1" x14ac:dyDescent="0.2">
      <c r="A36" s="3">
        <f>Summary_Data!A37</f>
        <v>6</v>
      </c>
      <c r="B36" s="3">
        <f>Summary_Data!B37</f>
        <v>99</v>
      </c>
      <c r="C36" s="3">
        <f>Summary_Data!C37</f>
        <v>5</v>
      </c>
      <c r="D36" s="3">
        <f>Summary_Data!D37</f>
        <v>103</v>
      </c>
      <c r="E36" s="20">
        <f>Summary_Data!E37</f>
        <v>0.14900192904343279</v>
      </c>
      <c r="F36" s="21" t="str">
        <f>Summary_Data!F37</f>
        <v>Upgrade Step Inpt 5 → Step Inpt 6</v>
      </c>
      <c r="G36" s="22">
        <f>Summary_Data!G37</f>
        <v>195.59719869147358</v>
      </c>
      <c r="I36" s="35"/>
      <c r="J36" s="27"/>
      <c r="K36" s="27"/>
      <c r="L36" s="27"/>
      <c r="M36" s="27"/>
      <c r="N36" s="34"/>
    </row>
    <row r="37" spans="1:14" ht="28" customHeight="1" x14ac:dyDescent="0.2">
      <c r="A37" s="3">
        <f>Summary_Data!A38</f>
        <v>7</v>
      </c>
      <c r="B37" s="3">
        <f>Summary_Data!B38</f>
        <v>50</v>
      </c>
      <c r="C37" s="3">
        <f>Summary_Data!C38</f>
        <v>6</v>
      </c>
      <c r="D37" s="3">
        <f>Summary_Data!D38</f>
        <v>94</v>
      </c>
      <c r="E37" s="20">
        <f>Summary_Data!E38</f>
        <v>0.19544211844432449</v>
      </c>
      <c r="F37" s="21" t="str">
        <f>Summary_Data!F38</f>
        <v>Highest step — escalate to clinical review</v>
      </c>
      <c r="G37" s="22">
        <f>Summary_Data!G38</f>
        <v>194.62155913376651</v>
      </c>
      <c r="I37" s="35"/>
      <c r="J37" s="27"/>
      <c r="K37" s="27"/>
      <c r="L37" s="27"/>
      <c r="M37" s="27"/>
      <c r="N37" s="34"/>
    </row>
    <row r="38" spans="1:14" ht="28" customHeight="1" x14ac:dyDescent="0.2">
      <c r="A38" s="3">
        <f>Summary_Data!A39</f>
        <v>8</v>
      </c>
      <c r="B38" s="3">
        <f>Summary_Data!B39</f>
        <v>92</v>
      </c>
      <c r="C38" s="3">
        <f>Summary_Data!C39</f>
        <v>5</v>
      </c>
      <c r="D38" s="3">
        <f>Summary_Data!D39</f>
        <v>97</v>
      </c>
      <c r="E38" s="20">
        <f>Summary_Data!E39</f>
        <v>0.14791609785567089</v>
      </c>
      <c r="F38" s="21" t="str">
        <f>Summary_Data!F39</f>
        <v>Upgrade Step Inpt 5 → Step Inpt 6</v>
      </c>
      <c r="G38" s="22">
        <f>Summary_Data!G39</f>
        <v>188.13952815866674</v>
      </c>
      <c r="I38" s="35"/>
      <c r="J38" s="27"/>
      <c r="K38" s="27"/>
      <c r="L38" s="27"/>
      <c r="M38" s="27"/>
      <c r="N38" s="34"/>
    </row>
    <row r="39" spans="1:14" ht="28" customHeight="1" x14ac:dyDescent="0.2">
      <c r="A39" s="3">
        <f>Summary_Data!A40</f>
        <v>9</v>
      </c>
      <c r="B39" s="3">
        <f>Summary_Data!B40</f>
        <v>37</v>
      </c>
      <c r="C39" s="3">
        <f>Summary_Data!C40</f>
        <v>5</v>
      </c>
      <c r="D39" s="3">
        <f>Summary_Data!D40</f>
        <v>98</v>
      </c>
      <c r="E39" s="20">
        <f>Summary_Data!E40</f>
        <v>0.149165504886692</v>
      </c>
      <c r="F39" s="21" t="str">
        <f>Summary_Data!F40</f>
        <v>Upgrade Step Inpt 5 → Step Inpt 6</v>
      </c>
      <c r="G39" s="22">
        <f>Summary_Data!G40</f>
        <v>182.0348861455625</v>
      </c>
      <c r="I39" s="35"/>
      <c r="J39" s="27"/>
      <c r="K39" s="27"/>
      <c r="L39" s="27"/>
      <c r="M39" s="27"/>
      <c r="N39" s="34"/>
    </row>
    <row r="40" spans="1:14" ht="28" customHeight="1" x14ac:dyDescent="0.2">
      <c r="A40" s="3">
        <f>Summary_Data!A41</f>
        <v>10</v>
      </c>
      <c r="B40" s="3">
        <f>Summary_Data!B41</f>
        <v>55</v>
      </c>
      <c r="C40" s="3">
        <f>Summary_Data!C41</f>
        <v>6</v>
      </c>
      <c r="D40" s="3">
        <f>Summary_Data!D41</f>
        <v>82</v>
      </c>
      <c r="E40" s="20">
        <f>Summary_Data!E41</f>
        <v>0.19637427758514001</v>
      </c>
      <c r="F40" s="21" t="str">
        <f>Summary_Data!F41</f>
        <v>Highest step — escalate to clinical review</v>
      </c>
      <c r="G40" s="22">
        <f>Summary_Data!G41</f>
        <v>171.56102409531482</v>
      </c>
      <c r="I40" s="46"/>
      <c r="J40" s="47"/>
      <c r="K40" s="47"/>
      <c r="L40" s="47"/>
      <c r="M40" s="47"/>
      <c r="N40" s="48"/>
    </row>
    <row r="41" spans="1:14" ht="22" customHeight="1" x14ac:dyDescent="0.2"/>
    <row r="42" spans="1:14" ht="22" customHeight="1" x14ac:dyDescent="0.2"/>
    <row r="43" spans="1:14" ht="22" customHeight="1" x14ac:dyDescent="0.2"/>
    <row r="44" spans="1:14" ht="22" customHeight="1" x14ac:dyDescent="0.2"/>
  </sheetData>
  <mergeCells count="18">
    <mergeCell ref="I30:N40"/>
    <mergeCell ref="A29:N29"/>
    <mergeCell ref="A15:F15"/>
    <mergeCell ref="H15:N15"/>
    <mergeCell ref="B11:D13"/>
    <mergeCell ref="F11:H13"/>
    <mergeCell ref="B6:D8"/>
    <mergeCell ref="J6:L8"/>
    <mergeCell ref="F6:H8"/>
    <mergeCell ref="J10:L10"/>
    <mergeCell ref="J11:L13"/>
    <mergeCell ref="B10:D10"/>
    <mergeCell ref="A1:N2"/>
    <mergeCell ref="F10:H10"/>
    <mergeCell ref="J5:L5"/>
    <mergeCell ref="B5:D5"/>
    <mergeCell ref="A3:N3"/>
    <mergeCell ref="F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8"/>
  <sheetViews>
    <sheetView workbookViewId="0"/>
  </sheetViews>
  <sheetFormatPr baseColWidth="10" defaultColWidth="8.83203125" defaultRowHeight="15" x14ac:dyDescent="0.2"/>
  <cols>
    <col min="1" max="1" width="10" customWidth="1"/>
    <col min="2" max="3" width="11" customWidth="1"/>
    <col min="4" max="4" width="10" customWidth="1"/>
    <col min="5" max="5" width="20" customWidth="1"/>
    <col min="6" max="6" width="13" customWidth="1"/>
    <col min="7" max="7" width="12" customWidth="1"/>
    <col min="8" max="8" width="18" customWidth="1"/>
    <col min="9" max="9" width="22" customWidth="1"/>
    <col min="10" max="11" width="11" customWidth="1"/>
    <col min="12" max="12" width="16" customWidth="1"/>
    <col min="13" max="13" width="12" customWidth="1"/>
    <col min="14" max="14" width="16" customWidth="1"/>
    <col min="15" max="15" width="11" customWidth="1"/>
    <col min="16" max="16" width="36" customWidth="1"/>
    <col min="17" max="17" width="14" customWidth="1"/>
    <col min="18" max="18" width="12" customWidth="1"/>
  </cols>
  <sheetData>
    <row r="1" spans="1:18" ht="32" customHeight="1" x14ac:dyDescent="0.2">
      <c r="A1" s="5" t="s">
        <v>12</v>
      </c>
      <c r="B1" s="5" t="s">
        <v>13</v>
      </c>
      <c r="C1" s="5" t="s">
        <v>19</v>
      </c>
      <c r="D1" s="5" t="s">
        <v>20</v>
      </c>
      <c r="E1" s="5" t="s">
        <v>21</v>
      </c>
      <c r="F1" s="5" t="s">
        <v>15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14</v>
      </c>
      <c r="P1" s="5" t="s">
        <v>16</v>
      </c>
      <c r="Q1" s="5" t="s">
        <v>17</v>
      </c>
      <c r="R1" s="5" t="s">
        <v>30</v>
      </c>
    </row>
    <row r="2" spans="1:18" x14ac:dyDescent="0.2">
      <c r="A2" s="6">
        <v>2</v>
      </c>
      <c r="B2" s="6">
        <v>3</v>
      </c>
      <c r="C2" s="6">
        <v>441</v>
      </c>
      <c r="D2" s="6">
        <v>22</v>
      </c>
      <c r="E2" s="6">
        <v>0</v>
      </c>
      <c r="F2" s="7">
        <v>5.4466552972604998E-2</v>
      </c>
      <c r="G2" s="7">
        <v>7.8164310960636196E-2</v>
      </c>
      <c r="H2" s="6">
        <v>337</v>
      </c>
      <c r="I2" s="6">
        <v>18</v>
      </c>
      <c r="J2" s="8">
        <v>0.5</v>
      </c>
      <c r="K2" s="6">
        <v>21</v>
      </c>
      <c r="L2" s="6">
        <v>17</v>
      </c>
      <c r="M2" s="6">
        <v>441</v>
      </c>
      <c r="N2" s="6" t="b">
        <v>1</v>
      </c>
      <c r="O2" s="6">
        <v>1</v>
      </c>
      <c r="P2" s="6" t="s">
        <v>31</v>
      </c>
      <c r="Q2" s="9">
        <f t="shared" ref="Q2:Q33" si="0">IF(N2,O2*(1+F2+J2),0)</f>
        <v>1.5544665529726049</v>
      </c>
      <c r="R2" s="10">
        <f>COUNTIF($Q$2:$Q$88,"&gt;"&amp;Q2)+COUNTIF($Q$2:Q2,Q2)</f>
        <v>77</v>
      </c>
    </row>
    <row r="3" spans="1:18" x14ac:dyDescent="0.2">
      <c r="A3" s="6">
        <v>3</v>
      </c>
      <c r="B3" s="6">
        <v>4</v>
      </c>
      <c r="C3" s="6">
        <v>1050</v>
      </c>
      <c r="D3" s="6">
        <v>68</v>
      </c>
      <c r="E3" s="6">
        <v>11</v>
      </c>
      <c r="F3" s="7">
        <v>8.0330877912527701E-2</v>
      </c>
      <c r="G3" s="7">
        <v>0.13287976136098181</v>
      </c>
      <c r="H3" s="6">
        <v>922</v>
      </c>
      <c r="I3" s="6">
        <v>39</v>
      </c>
      <c r="J3" s="8">
        <v>0.625</v>
      </c>
      <c r="K3" s="6">
        <v>49</v>
      </c>
      <c r="L3" s="6">
        <v>17</v>
      </c>
      <c r="M3" s="6">
        <v>1050</v>
      </c>
      <c r="N3" s="6" t="b">
        <v>1</v>
      </c>
      <c r="O3" s="6">
        <v>19</v>
      </c>
      <c r="P3" s="6" t="s">
        <v>32</v>
      </c>
      <c r="Q3" s="9">
        <f t="shared" si="0"/>
        <v>32.401286680338025</v>
      </c>
      <c r="R3" s="10">
        <f>COUNTIF($Q$2:$Q$88,"&gt;"&amp;Q3)+COUNTIF($Q$2:Q3,Q3)</f>
        <v>40</v>
      </c>
    </row>
    <row r="4" spans="1:18" x14ac:dyDescent="0.2">
      <c r="A4" s="6">
        <v>6</v>
      </c>
      <c r="B4" s="6">
        <v>3</v>
      </c>
      <c r="C4" s="6">
        <v>644</v>
      </c>
      <c r="D4" s="6">
        <v>36</v>
      </c>
      <c r="E4" s="6">
        <v>2</v>
      </c>
      <c r="F4" s="7">
        <v>5.8822351639879998E-2</v>
      </c>
      <c r="G4" s="7">
        <v>8.6352530238734695E-2</v>
      </c>
      <c r="H4" s="6">
        <v>532</v>
      </c>
      <c r="I4" s="6">
        <v>34</v>
      </c>
      <c r="J4" s="8">
        <v>0.4583333333333332</v>
      </c>
      <c r="K4" s="6">
        <v>30</v>
      </c>
      <c r="L4" s="6">
        <v>17</v>
      </c>
      <c r="M4" s="6">
        <v>644</v>
      </c>
      <c r="N4" s="6" t="b">
        <v>1</v>
      </c>
      <c r="O4" s="6">
        <v>6</v>
      </c>
      <c r="P4" s="6" t="s">
        <v>31</v>
      </c>
      <c r="Q4" s="9">
        <f t="shared" si="0"/>
        <v>9.1029341098392802</v>
      </c>
      <c r="R4" s="10">
        <f>COUNTIF($Q$2:$Q$88,"&gt;"&amp;Q4)+COUNTIF($Q$2:Q4,Q4)</f>
        <v>65</v>
      </c>
    </row>
    <row r="5" spans="1:18" x14ac:dyDescent="0.2">
      <c r="A5" s="6">
        <v>7</v>
      </c>
      <c r="B5" s="6">
        <v>4</v>
      </c>
      <c r="C5" s="6">
        <v>1036</v>
      </c>
      <c r="D5" s="6">
        <v>72</v>
      </c>
      <c r="E5" s="6">
        <v>10</v>
      </c>
      <c r="F5" s="7">
        <v>7.8299111139532807E-2</v>
      </c>
      <c r="G5" s="7">
        <v>0.131730715978994</v>
      </c>
      <c r="H5" s="6">
        <v>913</v>
      </c>
      <c r="I5" s="6">
        <v>36</v>
      </c>
      <c r="J5" s="8">
        <v>0.52083333333333337</v>
      </c>
      <c r="K5" s="6">
        <v>48</v>
      </c>
      <c r="L5" s="6">
        <v>17</v>
      </c>
      <c r="M5" s="6">
        <v>1036</v>
      </c>
      <c r="N5" s="6" t="b">
        <v>1</v>
      </c>
      <c r="O5" s="6">
        <v>24</v>
      </c>
      <c r="P5" s="6" t="s">
        <v>32</v>
      </c>
      <c r="Q5" s="9">
        <f t="shared" si="0"/>
        <v>38.379178667348782</v>
      </c>
      <c r="R5" s="10">
        <f>COUNTIF($Q$2:$Q$88,"&gt;"&amp;Q5)+COUNTIF($Q$2:Q5,Q5)</f>
        <v>35</v>
      </c>
    </row>
    <row r="6" spans="1:18" x14ac:dyDescent="0.2">
      <c r="A6" s="6">
        <v>8</v>
      </c>
      <c r="B6" s="6">
        <v>5</v>
      </c>
      <c r="C6" s="6">
        <v>364</v>
      </c>
      <c r="D6" s="6">
        <v>46</v>
      </c>
      <c r="E6" s="6">
        <v>13</v>
      </c>
      <c r="F6" s="7">
        <v>0.1411187400828928</v>
      </c>
      <c r="G6" s="7">
        <v>0.20065952034473269</v>
      </c>
      <c r="H6" s="6">
        <v>272</v>
      </c>
      <c r="I6" s="6">
        <v>20</v>
      </c>
      <c r="J6" s="8">
        <v>0.8125</v>
      </c>
      <c r="K6" s="6">
        <v>0</v>
      </c>
      <c r="L6" s="6">
        <v>0</v>
      </c>
      <c r="M6" s="6">
        <v>364</v>
      </c>
      <c r="N6" s="6" t="b">
        <v>1</v>
      </c>
      <c r="O6" s="6">
        <v>46</v>
      </c>
      <c r="P6" s="6" t="s">
        <v>33</v>
      </c>
      <c r="Q6" s="9">
        <f t="shared" si="0"/>
        <v>89.866462043813073</v>
      </c>
      <c r="R6" s="10">
        <f>COUNTIF($Q$2:$Q$88,"&gt;"&amp;Q6)+COUNTIF($Q$2:Q6,Q6)</f>
        <v>26</v>
      </c>
    </row>
    <row r="7" spans="1:18" x14ac:dyDescent="0.2">
      <c r="A7" s="6">
        <v>10</v>
      </c>
      <c r="B7" s="6">
        <v>4</v>
      </c>
      <c r="C7" s="6">
        <v>602</v>
      </c>
      <c r="D7" s="6">
        <v>36</v>
      </c>
      <c r="E7" s="6">
        <v>2</v>
      </c>
      <c r="F7" s="7">
        <v>8.4385323597428202E-2</v>
      </c>
      <c r="G7" s="7">
        <v>0.1291023912345203</v>
      </c>
      <c r="H7" s="6">
        <v>488</v>
      </c>
      <c r="I7" s="6">
        <v>28</v>
      </c>
      <c r="J7" s="8">
        <v>0.625</v>
      </c>
      <c r="K7" s="6">
        <v>28</v>
      </c>
      <c r="L7" s="6">
        <v>17</v>
      </c>
      <c r="M7" s="6">
        <v>602</v>
      </c>
      <c r="N7" s="6" t="b">
        <v>1</v>
      </c>
      <c r="O7" s="6">
        <v>8</v>
      </c>
      <c r="P7" s="6" t="s">
        <v>32</v>
      </c>
      <c r="Q7" s="9">
        <f t="shared" si="0"/>
        <v>13.675082588779425</v>
      </c>
      <c r="R7" s="10">
        <f>COUNTIF($Q$2:$Q$88,"&gt;"&amp;Q7)+COUNTIF($Q$2:Q7,Q7)</f>
        <v>57</v>
      </c>
    </row>
    <row r="8" spans="1:18" x14ac:dyDescent="0.2">
      <c r="A8" s="6">
        <v>11</v>
      </c>
      <c r="B8" s="6">
        <v>3</v>
      </c>
      <c r="C8" s="6">
        <v>623</v>
      </c>
      <c r="D8" s="6">
        <v>37</v>
      </c>
      <c r="E8" s="6">
        <v>8</v>
      </c>
      <c r="F8" s="7">
        <v>5.8495686952176197E-2</v>
      </c>
      <c r="G8" s="7">
        <v>8.6394849904472895E-2</v>
      </c>
      <c r="H8" s="6">
        <v>508</v>
      </c>
      <c r="I8" s="6">
        <v>42</v>
      </c>
      <c r="J8" s="8">
        <v>0.41666666666666669</v>
      </c>
      <c r="K8" s="6">
        <v>29</v>
      </c>
      <c r="L8" s="6">
        <v>17</v>
      </c>
      <c r="M8" s="6">
        <v>623</v>
      </c>
      <c r="N8" s="6" t="b">
        <v>1</v>
      </c>
      <c r="O8" s="6">
        <v>8</v>
      </c>
      <c r="P8" s="6" t="s">
        <v>31</v>
      </c>
      <c r="Q8" s="9">
        <f t="shared" si="0"/>
        <v>11.801298828950744</v>
      </c>
      <c r="R8" s="10">
        <f>COUNTIF($Q$2:$Q$88,"&gt;"&amp;Q8)+COUNTIF($Q$2:Q8,Q8)</f>
        <v>59</v>
      </c>
    </row>
    <row r="9" spans="1:18" x14ac:dyDescent="0.2">
      <c r="A9" s="6">
        <v>12</v>
      </c>
      <c r="B9" s="6">
        <v>5</v>
      </c>
      <c r="C9" s="6">
        <v>364</v>
      </c>
      <c r="D9" s="6">
        <v>28</v>
      </c>
      <c r="E9" s="6">
        <v>7</v>
      </c>
      <c r="F9" s="7">
        <v>0.12936530621159639</v>
      </c>
      <c r="G9" s="7">
        <v>0.18949674359411051</v>
      </c>
      <c r="H9" s="6">
        <v>263</v>
      </c>
      <c r="I9" s="6">
        <v>18</v>
      </c>
      <c r="J9" s="8">
        <v>0.77083333333333348</v>
      </c>
      <c r="K9" s="6">
        <v>0</v>
      </c>
      <c r="L9" s="6">
        <v>0</v>
      </c>
      <c r="M9" s="6">
        <v>364</v>
      </c>
      <c r="N9" s="6" t="b">
        <v>1</v>
      </c>
      <c r="O9" s="6">
        <v>28</v>
      </c>
      <c r="P9" s="6" t="s">
        <v>33</v>
      </c>
      <c r="Q9" s="9">
        <f t="shared" si="0"/>
        <v>53.205561907258037</v>
      </c>
      <c r="R9" s="10">
        <f>COUNTIF($Q$2:$Q$88,"&gt;"&amp;Q9)+COUNTIF($Q$2:Q9,Q9)</f>
        <v>34</v>
      </c>
    </row>
    <row r="10" spans="1:18" x14ac:dyDescent="0.2">
      <c r="A10" s="6">
        <v>14</v>
      </c>
      <c r="B10" s="6">
        <v>3</v>
      </c>
      <c r="C10" s="6">
        <v>490</v>
      </c>
      <c r="D10" s="6">
        <v>28</v>
      </c>
      <c r="E10" s="6">
        <v>3</v>
      </c>
      <c r="F10" s="7">
        <v>5.3891706375861798E-2</v>
      </c>
      <c r="G10" s="7">
        <v>8.5197604955231598E-2</v>
      </c>
      <c r="H10" s="6">
        <v>390</v>
      </c>
      <c r="I10" s="6">
        <v>24</v>
      </c>
      <c r="J10" s="8">
        <v>0.35416666666666669</v>
      </c>
      <c r="K10" s="6">
        <v>23</v>
      </c>
      <c r="L10" s="6">
        <v>17</v>
      </c>
      <c r="M10" s="6">
        <v>490</v>
      </c>
      <c r="N10" s="6" t="b">
        <v>1</v>
      </c>
      <c r="O10" s="6">
        <v>5</v>
      </c>
      <c r="P10" s="6" t="s">
        <v>31</v>
      </c>
      <c r="Q10" s="9">
        <f t="shared" si="0"/>
        <v>7.0402918652126427</v>
      </c>
      <c r="R10" s="10">
        <f>COUNTIF($Q$2:$Q$88,"&gt;"&amp;Q10)+COUNTIF($Q$2:Q10,Q10)</f>
        <v>69</v>
      </c>
    </row>
    <row r="11" spans="1:18" x14ac:dyDescent="0.2">
      <c r="A11" s="6">
        <v>16</v>
      </c>
      <c r="B11" s="6">
        <v>4</v>
      </c>
      <c r="C11" s="6">
        <v>371</v>
      </c>
      <c r="D11" s="6">
        <v>29</v>
      </c>
      <c r="E11" s="6">
        <v>4</v>
      </c>
      <c r="F11" s="7">
        <v>7.4702198914930407E-2</v>
      </c>
      <c r="G11" s="7">
        <v>0.11919938558392711</v>
      </c>
      <c r="H11" s="6">
        <v>273</v>
      </c>
      <c r="I11" s="6">
        <v>31</v>
      </c>
      <c r="J11" s="8">
        <v>0.66666666666666663</v>
      </c>
      <c r="K11" s="6">
        <v>17</v>
      </c>
      <c r="L11" s="6">
        <v>17</v>
      </c>
      <c r="M11" s="6">
        <v>371</v>
      </c>
      <c r="N11" s="6" t="b">
        <v>1</v>
      </c>
      <c r="O11" s="6">
        <v>12</v>
      </c>
      <c r="P11" s="6" t="s">
        <v>32</v>
      </c>
      <c r="Q11" s="9">
        <f t="shared" si="0"/>
        <v>20.896426386979165</v>
      </c>
      <c r="R11" s="10">
        <f>COUNTIF($Q$2:$Q$88,"&gt;"&amp;Q11)+COUNTIF($Q$2:Q11,Q11)</f>
        <v>49</v>
      </c>
    </row>
    <row r="12" spans="1:18" x14ac:dyDescent="0.2">
      <c r="A12" s="6">
        <v>17</v>
      </c>
      <c r="B12" s="6">
        <v>5</v>
      </c>
      <c r="C12" s="6">
        <v>672</v>
      </c>
      <c r="D12" s="6">
        <v>77</v>
      </c>
      <c r="E12" s="6">
        <v>16</v>
      </c>
      <c r="F12" s="7">
        <v>0.14791289748171549</v>
      </c>
      <c r="G12" s="7">
        <v>0.20340943955034069</v>
      </c>
      <c r="H12" s="6">
        <v>555</v>
      </c>
      <c r="I12" s="6">
        <v>25</v>
      </c>
      <c r="J12" s="8">
        <v>0.70833333333333337</v>
      </c>
      <c r="K12" s="6">
        <v>0</v>
      </c>
      <c r="L12" s="6">
        <v>0</v>
      </c>
      <c r="M12" s="6">
        <v>672</v>
      </c>
      <c r="N12" s="6" t="b">
        <v>1</v>
      </c>
      <c r="O12" s="6">
        <v>77</v>
      </c>
      <c r="P12" s="6" t="s">
        <v>33</v>
      </c>
      <c r="Q12" s="9">
        <f t="shared" si="0"/>
        <v>142.93095977275877</v>
      </c>
      <c r="R12" s="10">
        <f>COUNTIF($Q$2:$Q$88,"&gt;"&amp;Q12)+COUNTIF($Q$2:Q12,Q12)</f>
        <v>18</v>
      </c>
    </row>
    <row r="13" spans="1:18" x14ac:dyDescent="0.2">
      <c r="A13" s="6">
        <v>19</v>
      </c>
      <c r="B13" s="6">
        <v>5</v>
      </c>
      <c r="C13" s="6">
        <v>672</v>
      </c>
      <c r="D13" s="6">
        <v>73</v>
      </c>
      <c r="E13" s="6">
        <v>18</v>
      </c>
      <c r="F13" s="7">
        <v>0.15054617757028929</v>
      </c>
      <c r="G13" s="7">
        <v>0.2123088555323677</v>
      </c>
      <c r="H13" s="6">
        <v>554</v>
      </c>
      <c r="I13" s="6">
        <v>27</v>
      </c>
      <c r="J13" s="8">
        <v>0.79166666666666663</v>
      </c>
      <c r="K13" s="6">
        <v>0</v>
      </c>
      <c r="L13" s="6">
        <v>0</v>
      </c>
      <c r="M13" s="6">
        <v>672</v>
      </c>
      <c r="N13" s="6" t="b">
        <v>1</v>
      </c>
      <c r="O13" s="6">
        <v>73</v>
      </c>
      <c r="P13" s="6" t="s">
        <v>33</v>
      </c>
      <c r="Q13" s="9">
        <f t="shared" si="0"/>
        <v>141.78153762929779</v>
      </c>
      <c r="R13" s="10">
        <f>COUNTIF($Q$2:$Q$88,"&gt;"&amp;Q13)+COUNTIF($Q$2:Q13,Q13)</f>
        <v>19</v>
      </c>
    </row>
    <row r="14" spans="1:18" x14ac:dyDescent="0.2">
      <c r="A14" s="6">
        <v>20</v>
      </c>
      <c r="B14" s="6">
        <v>3</v>
      </c>
      <c r="C14" s="6">
        <v>581</v>
      </c>
      <c r="D14" s="6">
        <v>33</v>
      </c>
      <c r="E14" s="6">
        <v>5</v>
      </c>
      <c r="F14" s="7">
        <v>5.8145932302901097E-2</v>
      </c>
      <c r="G14" s="7">
        <v>9.0716454563376903E-2</v>
      </c>
      <c r="H14" s="6">
        <v>476</v>
      </c>
      <c r="I14" s="6">
        <v>55</v>
      </c>
      <c r="J14" s="8">
        <v>0.5</v>
      </c>
      <c r="K14" s="6">
        <v>27</v>
      </c>
      <c r="L14" s="6">
        <v>17</v>
      </c>
      <c r="M14" s="6">
        <v>581</v>
      </c>
      <c r="N14" s="6" t="b">
        <v>1</v>
      </c>
      <c r="O14" s="6">
        <v>6</v>
      </c>
      <c r="P14" s="6" t="s">
        <v>31</v>
      </c>
      <c r="Q14" s="9">
        <f t="shared" si="0"/>
        <v>9.3488755938174055</v>
      </c>
      <c r="R14" s="10">
        <f>COUNTIF($Q$2:$Q$88,"&gt;"&amp;Q14)+COUNTIF($Q$2:Q14,Q14)</f>
        <v>64</v>
      </c>
    </row>
    <row r="15" spans="1:18" x14ac:dyDescent="0.2">
      <c r="A15" s="6">
        <v>21</v>
      </c>
      <c r="B15" s="6">
        <v>4</v>
      </c>
      <c r="C15" s="6">
        <v>469</v>
      </c>
      <c r="D15" s="6">
        <v>26</v>
      </c>
      <c r="E15" s="6">
        <v>6</v>
      </c>
      <c r="F15" s="7">
        <v>7.7137977332022004E-2</v>
      </c>
      <c r="G15" s="7">
        <v>0.1176064675823673</v>
      </c>
      <c r="H15" s="6">
        <v>361</v>
      </c>
      <c r="I15" s="6">
        <v>42</v>
      </c>
      <c r="J15" s="8">
        <v>0.5625</v>
      </c>
      <c r="K15" s="6">
        <v>22</v>
      </c>
      <c r="L15" s="6">
        <v>17</v>
      </c>
      <c r="M15" s="6">
        <v>469</v>
      </c>
      <c r="N15" s="6" t="b">
        <v>1</v>
      </c>
      <c r="O15" s="6">
        <v>4</v>
      </c>
      <c r="P15" s="6" t="s">
        <v>32</v>
      </c>
      <c r="Q15" s="9">
        <f t="shared" si="0"/>
        <v>6.558551909328088</v>
      </c>
      <c r="R15" s="10">
        <f>COUNTIF($Q$2:$Q$88,"&gt;"&amp;Q15)+COUNTIF($Q$2:Q15,Q15)</f>
        <v>70</v>
      </c>
    </row>
    <row r="16" spans="1:18" x14ac:dyDescent="0.2">
      <c r="A16" s="6">
        <v>22</v>
      </c>
      <c r="B16" s="6">
        <v>5</v>
      </c>
      <c r="C16" s="6">
        <v>959</v>
      </c>
      <c r="D16" s="6">
        <v>116</v>
      </c>
      <c r="E16" s="6">
        <v>30</v>
      </c>
      <c r="F16" s="7">
        <v>0.15223186684144341</v>
      </c>
      <c r="G16" s="7">
        <v>0.2263207578591141</v>
      </c>
      <c r="H16" s="6">
        <v>837</v>
      </c>
      <c r="I16" s="6">
        <v>41</v>
      </c>
      <c r="J16" s="8">
        <v>0.8125</v>
      </c>
      <c r="K16" s="6">
        <v>0</v>
      </c>
      <c r="L16" s="6">
        <v>0</v>
      </c>
      <c r="M16" s="6">
        <v>959</v>
      </c>
      <c r="N16" s="6" t="b">
        <v>1</v>
      </c>
      <c r="O16" s="6">
        <v>116</v>
      </c>
      <c r="P16" s="6" t="s">
        <v>33</v>
      </c>
      <c r="Q16" s="9">
        <f t="shared" si="0"/>
        <v>227.90889655360746</v>
      </c>
      <c r="R16" s="10">
        <f>COUNTIF($Q$2:$Q$88,"&gt;"&amp;Q16)+COUNTIF($Q$2:Q16,Q16)</f>
        <v>3</v>
      </c>
    </row>
    <row r="17" spans="1:18" x14ac:dyDescent="0.2">
      <c r="A17" s="6">
        <v>25</v>
      </c>
      <c r="B17" s="6">
        <v>5</v>
      </c>
      <c r="C17" s="6">
        <v>938</v>
      </c>
      <c r="D17" s="6">
        <v>116</v>
      </c>
      <c r="E17" s="6">
        <v>31</v>
      </c>
      <c r="F17" s="7">
        <v>0.1531413557553398</v>
      </c>
      <c r="G17" s="7">
        <v>0.2218452067089923</v>
      </c>
      <c r="H17" s="6">
        <v>817</v>
      </c>
      <c r="I17" s="6">
        <v>43</v>
      </c>
      <c r="J17" s="8">
        <v>0.83333333333333337</v>
      </c>
      <c r="K17" s="6">
        <v>0</v>
      </c>
      <c r="L17" s="6">
        <v>0</v>
      </c>
      <c r="M17" s="6">
        <v>938</v>
      </c>
      <c r="N17" s="6" t="b">
        <v>1</v>
      </c>
      <c r="O17" s="6">
        <v>116</v>
      </c>
      <c r="P17" s="6" t="s">
        <v>33</v>
      </c>
      <c r="Q17" s="9">
        <f t="shared" si="0"/>
        <v>230.43106393428607</v>
      </c>
      <c r="R17" s="10">
        <f>COUNTIF($Q$2:$Q$88,"&gt;"&amp;Q17)+COUNTIF($Q$2:Q17,Q17)</f>
        <v>2</v>
      </c>
    </row>
    <row r="18" spans="1:18" x14ac:dyDescent="0.2">
      <c r="A18" s="6">
        <v>26</v>
      </c>
      <c r="B18" s="6">
        <v>5</v>
      </c>
      <c r="C18" s="6">
        <v>469</v>
      </c>
      <c r="D18" s="6">
        <v>49</v>
      </c>
      <c r="E18" s="6">
        <v>16</v>
      </c>
      <c r="F18" s="7">
        <v>0.14217669578342801</v>
      </c>
      <c r="G18" s="7">
        <v>0.2069061802915203</v>
      </c>
      <c r="H18" s="6">
        <v>367</v>
      </c>
      <c r="I18" s="6">
        <v>21</v>
      </c>
      <c r="J18" s="8">
        <v>0.83333333333333337</v>
      </c>
      <c r="K18" s="6">
        <v>0</v>
      </c>
      <c r="L18" s="6">
        <v>0</v>
      </c>
      <c r="M18" s="6">
        <v>469</v>
      </c>
      <c r="N18" s="6" t="b">
        <v>1</v>
      </c>
      <c r="O18" s="6">
        <v>49</v>
      </c>
      <c r="P18" s="6" t="s">
        <v>33</v>
      </c>
      <c r="Q18" s="9">
        <f t="shared" si="0"/>
        <v>96.799991426721306</v>
      </c>
      <c r="R18" s="10">
        <f>COUNTIF($Q$2:$Q$88,"&gt;"&amp;Q18)+COUNTIF($Q$2:Q18,Q18)</f>
        <v>25</v>
      </c>
    </row>
    <row r="19" spans="1:18" x14ac:dyDescent="0.2">
      <c r="A19" s="6">
        <v>27</v>
      </c>
      <c r="B19" s="6">
        <v>5</v>
      </c>
      <c r="C19" s="6">
        <v>679</v>
      </c>
      <c r="D19" s="6">
        <v>73</v>
      </c>
      <c r="E19" s="6">
        <v>21</v>
      </c>
      <c r="F19" s="7">
        <v>0.1489822910119909</v>
      </c>
      <c r="G19" s="7">
        <v>0.2100828774959993</v>
      </c>
      <c r="H19" s="6">
        <v>571</v>
      </c>
      <c r="I19" s="6">
        <v>53</v>
      </c>
      <c r="J19" s="8">
        <v>0.75</v>
      </c>
      <c r="K19" s="6">
        <v>0</v>
      </c>
      <c r="L19" s="6">
        <v>0</v>
      </c>
      <c r="M19" s="6">
        <v>679</v>
      </c>
      <c r="N19" s="6" t="b">
        <v>1</v>
      </c>
      <c r="O19" s="6">
        <v>73</v>
      </c>
      <c r="P19" s="6" t="s">
        <v>33</v>
      </c>
      <c r="Q19" s="9">
        <f t="shared" si="0"/>
        <v>138.62570724387533</v>
      </c>
      <c r="R19" s="10">
        <f>COUNTIF($Q$2:$Q$88,"&gt;"&amp;Q19)+COUNTIF($Q$2:Q19,Q19)</f>
        <v>20</v>
      </c>
    </row>
    <row r="20" spans="1:18" x14ac:dyDescent="0.2">
      <c r="A20" s="6">
        <v>28</v>
      </c>
      <c r="B20" s="6">
        <v>5</v>
      </c>
      <c r="C20" s="6">
        <v>357</v>
      </c>
      <c r="D20" s="6">
        <v>42</v>
      </c>
      <c r="E20" s="6">
        <v>5</v>
      </c>
      <c r="F20" s="7">
        <v>0.14036854927611861</v>
      </c>
      <c r="G20" s="7">
        <v>0.20549501891256841</v>
      </c>
      <c r="H20" s="6">
        <v>259</v>
      </c>
      <c r="I20" s="6">
        <v>16</v>
      </c>
      <c r="J20" s="8">
        <v>0.8125</v>
      </c>
      <c r="K20" s="6">
        <v>0</v>
      </c>
      <c r="L20" s="6">
        <v>0</v>
      </c>
      <c r="M20" s="6">
        <v>357</v>
      </c>
      <c r="N20" s="6" t="b">
        <v>1</v>
      </c>
      <c r="O20" s="6">
        <v>42</v>
      </c>
      <c r="P20" s="6" t="s">
        <v>33</v>
      </c>
      <c r="Q20" s="9">
        <f t="shared" si="0"/>
        <v>82.020479069596988</v>
      </c>
      <c r="R20" s="10">
        <f>COUNTIF($Q$2:$Q$88,"&gt;"&amp;Q20)+COUNTIF($Q$2:Q20,Q20)</f>
        <v>28</v>
      </c>
    </row>
    <row r="21" spans="1:18" x14ac:dyDescent="0.2">
      <c r="A21" s="3">
        <v>29</v>
      </c>
      <c r="B21" s="3">
        <v>3</v>
      </c>
      <c r="C21" s="3">
        <v>763</v>
      </c>
      <c r="D21" s="3">
        <v>33</v>
      </c>
      <c r="E21" s="3">
        <v>3</v>
      </c>
      <c r="F21" s="4">
        <v>5.8047101606731398E-2</v>
      </c>
      <c r="G21" s="4">
        <v>9.0371967315580906E-2</v>
      </c>
      <c r="H21" s="3">
        <v>645</v>
      </c>
      <c r="I21" s="3">
        <v>38</v>
      </c>
      <c r="J21" s="11">
        <v>0.5</v>
      </c>
      <c r="K21" s="3">
        <v>36</v>
      </c>
      <c r="L21" s="3">
        <v>17</v>
      </c>
      <c r="M21" s="3">
        <v>763</v>
      </c>
      <c r="N21" s="3" t="b">
        <v>0</v>
      </c>
      <c r="O21" s="3">
        <v>0</v>
      </c>
      <c r="P21" s="3" t="s">
        <v>34</v>
      </c>
      <c r="Q21" s="12">
        <f t="shared" si="0"/>
        <v>0</v>
      </c>
      <c r="R21" s="13">
        <f>COUNTIF($Q$2:$Q$88,"&gt;"&amp;Q21)+COUNTIF($Q$2:Q21,Q21)</f>
        <v>80</v>
      </c>
    </row>
    <row r="22" spans="1:18" x14ac:dyDescent="0.2">
      <c r="A22" s="3">
        <v>34</v>
      </c>
      <c r="B22" s="3">
        <v>3</v>
      </c>
      <c r="C22" s="3">
        <v>483</v>
      </c>
      <c r="D22" s="3">
        <v>15</v>
      </c>
      <c r="E22" s="3">
        <v>1</v>
      </c>
      <c r="F22" s="4">
        <v>5.0144393416934302E-2</v>
      </c>
      <c r="G22" s="4">
        <v>7.4762438491341301E-2</v>
      </c>
      <c r="H22" s="3">
        <v>381</v>
      </c>
      <c r="I22" s="3">
        <v>31</v>
      </c>
      <c r="J22" s="11">
        <v>0.39583333333333331</v>
      </c>
      <c r="K22" s="3">
        <v>22</v>
      </c>
      <c r="L22" s="3">
        <v>17</v>
      </c>
      <c r="M22" s="3">
        <v>483</v>
      </c>
      <c r="N22" s="3" t="b">
        <v>0</v>
      </c>
      <c r="O22" s="3">
        <v>0</v>
      </c>
      <c r="P22" s="3" t="s">
        <v>34</v>
      </c>
      <c r="Q22" s="12">
        <f t="shared" si="0"/>
        <v>0</v>
      </c>
      <c r="R22" s="13">
        <f>COUNTIF($Q$2:$Q$88,"&gt;"&amp;Q22)+COUNTIF($Q$2:Q22,Q22)</f>
        <v>81</v>
      </c>
    </row>
    <row r="23" spans="1:18" x14ac:dyDescent="0.2">
      <c r="A23" s="6">
        <v>35</v>
      </c>
      <c r="B23" s="6">
        <v>4</v>
      </c>
      <c r="C23" s="6">
        <v>903</v>
      </c>
      <c r="D23" s="6">
        <v>59</v>
      </c>
      <c r="E23" s="6">
        <v>7</v>
      </c>
      <c r="F23" s="7">
        <v>8.2512352779670506E-2</v>
      </c>
      <c r="G23" s="7">
        <v>0.13144705608846741</v>
      </c>
      <c r="H23" s="6">
        <v>775</v>
      </c>
      <c r="I23" s="6">
        <v>35</v>
      </c>
      <c r="J23" s="8">
        <v>0.52083333333333337</v>
      </c>
      <c r="K23" s="6">
        <v>42</v>
      </c>
      <c r="L23" s="6">
        <v>17</v>
      </c>
      <c r="M23" s="6">
        <v>903</v>
      </c>
      <c r="N23" s="6" t="b">
        <v>1</v>
      </c>
      <c r="O23" s="6">
        <v>17</v>
      </c>
      <c r="P23" s="6" t="s">
        <v>32</v>
      </c>
      <c r="Q23" s="9">
        <f t="shared" si="0"/>
        <v>27.256876663921062</v>
      </c>
      <c r="R23" s="10">
        <f>COUNTIF($Q$2:$Q$88,"&gt;"&amp;Q23)+COUNTIF($Q$2:Q23,Q23)</f>
        <v>42</v>
      </c>
    </row>
    <row r="24" spans="1:18" x14ac:dyDescent="0.2">
      <c r="A24" s="6">
        <v>37</v>
      </c>
      <c r="B24" s="6">
        <v>5</v>
      </c>
      <c r="C24" s="6">
        <v>952</v>
      </c>
      <c r="D24" s="6">
        <v>98</v>
      </c>
      <c r="E24" s="6">
        <v>25</v>
      </c>
      <c r="F24" s="7">
        <v>0.149165504886692</v>
      </c>
      <c r="G24" s="7">
        <v>0.2167994485514935</v>
      </c>
      <c r="H24" s="6">
        <v>829</v>
      </c>
      <c r="I24" s="6">
        <v>54</v>
      </c>
      <c r="J24" s="8">
        <v>0.70833333333333337</v>
      </c>
      <c r="K24" s="6">
        <v>0</v>
      </c>
      <c r="L24" s="6">
        <v>0</v>
      </c>
      <c r="M24" s="6">
        <v>952</v>
      </c>
      <c r="N24" s="6" t="b">
        <v>1</v>
      </c>
      <c r="O24" s="6">
        <v>98</v>
      </c>
      <c r="P24" s="6" t="s">
        <v>33</v>
      </c>
      <c r="Q24" s="9">
        <f t="shared" si="0"/>
        <v>182.0348861455625</v>
      </c>
      <c r="R24" s="10">
        <f>COUNTIF($Q$2:$Q$88,"&gt;"&amp;Q24)+COUNTIF($Q$2:Q24,Q24)</f>
        <v>9</v>
      </c>
    </row>
    <row r="25" spans="1:18" x14ac:dyDescent="0.2">
      <c r="A25" s="6">
        <v>38</v>
      </c>
      <c r="B25" s="6">
        <v>5</v>
      </c>
      <c r="C25" s="6">
        <v>581</v>
      </c>
      <c r="D25" s="6">
        <v>69</v>
      </c>
      <c r="E25" s="6">
        <v>14</v>
      </c>
      <c r="F25" s="7">
        <v>0.15091156882236109</v>
      </c>
      <c r="G25" s="7">
        <v>0.21381553440547771</v>
      </c>
      <c r="H25" s="6">
        <v>469</v>
      </c>
      <c r="I25" s="6">
        <v>25</v>
      </c>
      <c r="J25" s="8">
        <v>0.83333333333333337</v>
      </c>
      <c r="K25" s="6">
        <v>0</v>
      </c>
      <c r="L25" s="6">
        <v>0</v>
      </c>
      <c r="M25" s="6">
        <v>581</v>
      </c>
      <c r="N25" s="6" t="b">
        <v>1</v>
      </c>
      <c r="O25" s="6">
        <v>69</v>
      </c>
      <c r="P25" s="6" t="s">
        <v>33</v>
      </c>
      <c r="Q25" s="9">
        <f t="shared" si="0"/>
        <v>136.91289824874292</v>
      </c>
      <c r="R25" s="10">
        <f>COUNTIF($Q$2:$Q$88,"&gt;"&amp;Q25)+COUNTIF($Q$2:Q25,Q25)</f>
        <v>21</v>
      </c>
    </row>
    <row r="26" spans="1:18" x14ac:dyDescent="0.2">
      <c r="A26" s="6">
        <v>43</v>
      </c>
      <c r="B26" s="6">
        <v>4</v>
      </c>
      <c r="C26" s="6">
        <v>609</v>
      </c>
      <c r="D26" s="6">
        <v>50</v>
      </c>
      <c r="E26" s="6">
        <v>10</v>
      </c>
      <c r="F26" s="7">
        <v>8.0231100928152305E-2</v>
      </c>
      <c r="G26" s="7">
        <v>0.12764308580575059</v>
      </c>
      <c r="H26" s="6">
        <v>500</v>
      </c>
      <c r="I26" s="6">
        <v>40</v>
      </c>
      <c r="J26" s="8">
        <v>0.64583333333333337</v>
      </c>
      <c r="K26" s="6">
        <v>28</v>
      </c>
      <c r="L26" s="6">
        <v>17</v>
      </c>
      <c r="M26" s="6">
        <v>609</v>
      </c>
      <c r="N26" s="6" t="b">
        <v>1</v>
      </c>
      <c r="O26" s="6">
        <v>22</v>
      </c>
      <c r="P26" s="6" t="s">
        <v>32</v>
      </c>
      <c r="Q26" s="9">
        <f t="shared" si="0"/>
        <v>37.973417553752682</v>
      </c>
      <c r="R26" s="10">
        <f>COUNTIF($Q$2:$Q$88,"&gt;"&amp;Q26)+COUNTIF($Q$2:Q26,Q26)</f>
        <v>36</v>
      </c>
    </row>
    <row r="27" spans="1:18" x14ac:dyDescent="0.2">
      <c r="A27" s="6">
        <v>44</v>
      </c>
      <c r="B27" s="6">
        <v>5</v>
      </c>
      <c r="C27" s="6">
        <v>868</v>
      </c>
      <c r="D27" s="6">
        <v>106</v>
      </c>
      <c r="E27" s="6">
        <v>22</v>
      </c>
      <c r="F27" s="7">
        <v>0.1510121654510887</v>
      </c>
      <c r="G27" s="7">
        <v>0.2215723945189281</v>
      </c>
      <c r="H27" s="6">
        <v>753</v>
      </c>
      <c r="I27" s="6">
        <v>36</v>
      </c>
      <c r="J27" s="8">
        <v>0.8125</v>
      </c>
      <c r="K27" s="6">
        <v>0</v>
      </c>
      <c r="L27" s="6">
        <v>0</v>
      </c>
      <c r="M27" s="6">
        <v>868</v>
      </c>
      <c r="N27" s="6" t="b">
        <v>1</v>
      </c>
      <c r="O27" s="6">
        <v>106</v>
      </c>
      <c r="P27" s="6" t="s">
        <v>33</v>
      </c>
      <c r="Q27" s="9">
        <f t="shared" si="0"/>
        <v>208.13228953781541</v>
      </c>
      <c r="R27" s="10">
        <f>COUNTIF($Q$2:$Q$88,"&gt;"&amp;Q27)+COUNTIF($Q$2:Q27,Q27)</f>
        <v>5</v>
      </c>
    </row>
    <row r="28" spans="1:18" x14ac:dyDescent="0.2">
      <c r="A28" s="6">
        <v>46</v>
      </c>
      <c r="B28" s="6">
        <v>3</v>
      </c>
      <c r="C28" s="6">
        <v>448</v>
      </c>
      <c r="D28" s="6">
        <v>29</v>
      </c>
      <c r="E28" s="6">
        <v>4</v>
      </c>
      <c r="F28" s="7">
        <v>5.3498325697552099E-2</v>
      </c>
      <c r="G28" s="7">
        <v>7.8358517257416604E-2</v>
      </c>
      <c r="H28" s="6">
        <v>351</v>
      </c>
      <c r="I28" s="6">
        <v>20</v>
      </c>
      <c r="J28" s="8">
        <v>0.39583333333333331</v>
      </c>
      <c r="K28" s="6">
        <v>21</v>
      </c>
      <c r="L28" s="6">
        <v>17</v>
      </c>
      <c r="M28" s="6">
        <v>448</v>
      </c>
      <c r="N28" s="6" t="b">
        <v>1</v>
      </c>
      <c r="O28" s="6">
        <v>8</v>
      </c>
      <c r="P28" s="6" t="s">
        <v>31</v>
      </c>
      <c r="Q28" s="9">
        <f t="shared" si="0"/>
        <v>11.594653272247083</v>
      </c>
      <c r="R28" s="10">
        <f>COUNTIF($Q$2:$Q$88,"&gt;"&amp;Q28)+COUNTIF($Q$2:Q28,Q28)</f>
        <v>61</v>
      </c>
    </row>
    <row r="29" spans="1:18" x14ac:dyDescent="0.2">
      <c r="A29" s="6">
        <v>48</v>
      </c>
      <c r="B29" s="6">
        <v>4</v>
      </c>
      <c r="C29" s="6">
        <v>609</v>
      </c>
      <c r="D29" s="6">
        <v>40</v>
      </c>
      <c r="E29" s="6">
        <v>5</v>
      </c>
      <c r="F29" s="7">
        <v>8.4166522143238498E-2</v>
      </c>
      <c r="G29" s="7">
        <v>0.13387062188739171</v>
      </c>
      <c r="H29" s="6">
        <v>503</v>
      </c>
      <c r="I29" s="6">
        <v>23</v>
      </c>
      <c r="J29" s="8">
        <v>0.625</v>
      </c>
      <c r="K29" s="6">
        <v>28</v>
      </c>
      <c r="L29" s="6">
        <v>17</v>
      </c>
      <c r="M29" s="6">
        <v>609</v>
      </c>
      <c r="N29" s="6" t="b">
        <v>1</v>
      </c>
      <c r="O29" s="6">
        <v>12</v>
      </c>
      <c r="P29" s="6" t="s">
        <v>32</v>
      </c>
      <c r="Q29" s="9">
        <f t="shared" si="0"/>
        <v>20.509998265718863</v>
      </c>
      <c r="R29" s="10">
        <f>COUNTIF($Q$2:$Q$88,"&gt;"&amp;Q29)+COUNTIF($Q$2:Q29,Q29)</f>
        <v>50</v>
      </c>
    </row>
    <row r="30" spans="1:18" x14ac:dyDescent="0.2">
      <c r="A30" s="3">
        <v>49</v>
      </c>
      <c r="B30" s="3">
        <v>3</v>
      </c>
      <c r="C30" s="3">
        <v>637</v>
      </c>
      <c r="D30" s="3">
        <v>30</v>
      </c>
      <c r="E30" s="3">
        <v>4</v>
      </c>
      <c r="F30" s="4">
        <v>5.81300427949819E-2</v>
      </c>
      <c r="G30" s="4">
        <v>8.7696698889131203E-2</v>
      </c>
      <c r="H30" s="3">
        <v>534</v>
      </c>
      <c r="I30" s="3">
        <v>32</v>
      </c>
      <c r="J30" s="11">
        <v>0.41666666666666669</v>
      </c>
      <c r="K30" s="3">
        <v>30</v>
      </c>
      <c r="L30" s="3">
        <v>17</v>
      </c>
      <c r="M30" s="3">
        <v>637</v>
      </c>
      <c r="N30" s="3" t="b">
        <v>0</v>
      </c>
      <c r="O30" s="3">
        <v>0</v>
      </c>
      <c r="P30" s="3" t="s">
        <v>34</v>
      </c>
      <c r="Q30" s="12">
        <f t="shared" si="0"/>
        <v>0</v>
      </c>
      <c r="R30" s="13">
        <f>COUNTIF($Q$2:$Q$88,"&gt;"&amp;Q30)+COUNTIF($Q$2:Q30,Q30)</f>
        <v>82</v>
      </c>
    </row>
    <row r="31" spans="1:18" x14ac:dyDescent="0.2">
      <c r="A31" s="6">
        <v>50</v>
      </c>
      <c r="B31" s="6">
        <v>6</v>
      </c>
      <c r="C31" s="6">
        <v>994</v>
      </c>
      <c r="D31" s="6">
        <v>140</v>
      </c>
      <c r="E31" s="6">
        <v>62</v>
      </c>
      <c r="F31" s="7">
        <v>0.19544211844432449</v>
      </c>
      <c r="G31" s="7">
        <v>0.28464691238078033</v>
      </c>
      <c r="H31" s="6">
        <v>867</v>
      </c>
      <c r="I31" s="6">
        <v>59</v>
      </c>
      <c r="J31" s="8">
        <v>0.875</v>
      </c>
      <c r="K31" s="6">
        <v>46</v>
      </c>
      <c r="L31" s="6">
        <v>17</v>
      </c>
      <c r="M31" s="6">
        <v>994</v>
      </c>
      <c r="N31" s="6" t="b">
        <v>1</v>
      </c>
      <c r="O31" s="6">
        <v>94</v>
      </c>
      <c r="P31" s="6" t="s">
        <v>35</v>
      </c>
      <c r="Q31" s="9">
        <f t="shared" si="0"/>
        <v>194.62155913376651</v>
      </c>
      <c r="R31" s="10">
        <f>COUNTIF($Q$2:$Q$88,"&gt;"&amp;Q31)+COUNTIF($Q$2:Q31,Q31)</f>
        <v>7</v>
      </c>
    </row>
    <row r="32" spans="1:18" x14ac:dyDescent="0.2">
      <c r="A32" s="6">
        <v>51</v>
      </c>
      <c r="B32" s="6">
        <v>3</v>
      </c>
      <c r="C32" s="6">
        <v>448</v>
      </c>
      <c r="D32" s="6">
        <v>23</v>
      </c>
      <c r="E32" s="6">
        <v>3</v>
      </c>
      <c r="F32" s="7">
        <v>4.9497057903025998E-2</v>
      </c>
      <c r="G32" s="7">
        <v>7.84702947146146E-2</v>
      </c>
      <c r="H32" s="6">
        <v>342</v>
      </c>
      <c r="I32" s="6">
        <v>14</v>
      </c>
      <c r="J32" s="8">
        <v>0.41666666666666669</v>
      </c>
      <c r="K32" s="6">
        <v>21</v>
      </c>
      <c r="L32" s="6">
        <v>17</v>
      </c>
      <c r="M32" s="6">
        <v>448</v>
      </c>
      <c r="N32" s="6" t="b">
        <v>1</v>
      </c>
      <c r="O32" s="6">
        <v>2</v>
      </c>
      <c r="P32" s="6" t="s">
        <v>31</v>
      </c>
      <c r="Q32" s="9">
        <f t="shared" si="0"/>
        <v>2.9323274491393856</v>
      </c>
      <c r="R32" s="10">
        <f>COUNTIF($Q$2:$Q$88,"&gt;"&amp;Q32)+COUNTIF($Q$2:Q32,Q32)</f>
        <v>76</v>
      </c>
    </row>
    <row r="33" spans="1:18" x14ac:dyDescent="0.2">
      <c r="A33" s="6">
        <v>52</v>
      </c>
      <c r="B33" s="6">
        <v>3</v>
      </c>
      <c r="C33" s="6">
        <v>385</v>
      </c>
      <c r="D33" s="6">
        <v>21</v>
      </c>
      <c r="E33" s="6">
        <v>0</v>
      </c>
      <c r="F33" s="7">
        <v>5.1819819836960997E-2</v>
      </c>
      <c r="G33" s="7">
        <v>7.7429643967508996E-2</v>
      </c>
      <c r="H33" s="6">
        <v>284</v>
      </c>
      <c r="I33" s="6">
        <v>35</v>
      </c>
      <c r="J33" s="8">
        <v>0.35416666666666669</v>
      </c>
      <c r="K33" s="6">
        <v>18</v>
      </c>
      <c r="L33" s="6">
        <v>17</v>
      </c>
      <c r="M33" s="6">
        <v>385</v>
      </c>
      <c r="N33" s="6" t="b">
        <v>1</v>
      </c>
      <c r="O33" s="6">
        <v>3</v>
      </c>
      <c r="P33" s="6" t="s">
        <v>31</v>
      </c>
      <c r="Q33" s="9">
        <f t="shared" si="0"/>
        <v>4.2179594595108831</v>
      </c>
      <c r="R33" s="10">
        <f>COUNTIF($Q$2:$Q$88,"&gt;"&amp;Q33)+COUNTIF($Q$2:Q33,Q33)</f>
        <v>74</v>
      </c>
    </row>
    <row r="34" spans="1:18" x14ac:dyDescent="0.2">
      <c r="A34" s="6">
        <v>54</v>
      </c>
      <c r="B34" s="6">
        <v>4</v>
      </c>
      <c r="C34" s="6">
        <v>987</v>
      </c>
      <c r="D34" s="6">
        <v>67</v>
      </c>
      <c r="E34" s="6">
        <v>10</v>
      </c>
      <c r="F34" s="7">
        <v>7.8840942736440697E-2</v>
      </c>
      <c r="G34" s="7">
        <v>0.12598490932946041</v>
      </c>
      <c r="H34" s="6">
        <v>864</v>
      </c>
      <c r="I34" s="6">
        <v>35</v>
      </c>
      <c r="J34" s="8">
        <v>0.52083333333333337</v>
      </c>
      <c r="K34" s="6">
        <v>46</v>
      </c>
      <c r="L34" s="6">
        <v>17</v>
      </c>
      <c r="M34" s="6">
        <v>987</v>
      </c>
      <c r="N34" s="6" t="b">
        <v>1</v>
      </c>
      <c r="O34" s="6">
        <v>21</v>
      </c>
      <c r="P34" s="6" t="s">
        <v>32</v>
      </c>
      <c r="Q34" s="9">
        <f t="shared" ref="Q34:Q65" si="1">IF(N34,O34*(1+F34+J34),0)</f>
        <v>33.593159797465255</v>
      </c>
      <c r="R34" s="10">
        <f>COUNTIF($Q$2:$Q$88,"&gt;"&amp;Q34)+COUNTIF($Q$2:Q34,Q34)</f>
        <v>38</v>
      </c>
    </row>
    <row r="35" spans="1:18" x14ac:dyDescent="0.2">
      <c r="A35" s="6">
        <v>55</v>
      </c>
      <c r="B35" s="6">
        <v>6</v>
      </c>
      <c r="C35" s="6">
        <v>959</v>
      </c>
      <c r="D35" s="6">
        <v>127</v>
      </c>
      <c r="E35" s="6">
        <v>52</v>
      </c>
      <c r="F35" s="7">
        <v>0.19637427758514001</v>
      </c>
      <c r="G35" s="7">
        <v>0.28424655151090428</v>
      </c>
      <c r="H35" s="6">
        <v>835</v>
      </c>
      <c r="I35" s="6">
        <v>51</v>
      </c>
      <c r="J35" s="8">
        <v>0.89583333333333337</v>
      </c>
      <c r="K35" s="6">
        <v>45</v>
      </c>
      <c r="L35" s="6">
        <v>17</v>
      </c>
      <c r="M35" s="6">
        <v>959</v>
      </c>
      <c r="N35" s="6" t="b">
        <v>1</v>
      </c>
      <c r="O35" s="6">
        <v>82</v>
      </c>
      <c r="P35" s="6" t="s">
        <v>35</v>
      </c>
      <c r="Q35" s="9">
        <f t="shared" si="1"/>
        <v>171.56102409531482</v>
      </c>
      <c r="R35" s="10">
        <f>COUNTIF($Q$2:$Q$88,"&gt;"&amp;Q35)+COUNTIF($Q$2:Q35,Q35)</f>
        <v>10</v>
      </c>
    </row>
    <row r="36" spans="1:18" x14ac:dyDescent="0.2">
      <c r="A36" s="6">
        <v>56</v>
      </c>
      <c r="B36" s="6">
        <v>3</v>
      </c>
      <c r="C36" s="6">
        <v>1029</v>
      </c>
      <c r="D36" s="6">
        <v>64</v>
      </c>
      <c r="E36" s="6">
        <v>8</v>
      </c>
      <c r="F36" s="7">
        <v>5.8610790066876702E-2</v>
      </c>
      <c r="G36" s="7">
        <v>9.1538485205647599E-2</v>
      </c>
      <c r="H36" s="6">
        <v>916</v>
      </c>
      <c r="I36" s="6">
        <v>51</v>
      </c>
      <c r="J36" s="8">
        <v>0.375</v>
      </c>
      <c r="K36" s="6">
        <v>48</v>
      </c>
      <c r="L36" s="6">
        <v>17</v>
      </c>
      <c r="M36" s="6">
        <v>1029</v>
      </c>
      <c r="N36" s="6" t="b">
        <v>1</v>
      </c>
      <c r="O36" s="6">
        <v>16</v>
      </c>
      <c r="P36" s="6" t="s">
        <v>31</v>
      </c>
      <c r="Q36" s="9">
        <f t="shared" si="1"/>
        <v>22.937772641070026</v>
      </c>
      <c r="R36" s="10">
        <f>COUNTIF($Q$2:$Q$88,"&gt;"&amp;Q36)+COUNTIF($Q$2:Q36,Q36)</f>
        <v>46</v>
      </c>
    </row>
    <row r="37" spans="1:18" x14ac:dyDescent="0.2">
      <c r="A37" s="6">
        <v>58</v>
      </c>
      <c r="B37" s="6">
        <v>4</v>
      </c>
      <c r="C37" s="6">
        <v>735</v>
      </c>
      <c r="D37" s="6">
        <v>53</v>
      </c>
      <c r="E37" s="6">
        <v>5</v>
      </c>
      <c r="F37" s="7">
        <v>7.8212911111151695E-2</v>
      </c>
      <c r="G37" s="7">
        <v>0.12764308580575059</v>
      </c>
      <c r="H37" s="6">
        <v>616</v>
      </c>
      <c r="I37" s="6">
        <v>69</v>
      </c>
      <c r="J37" s="8">
        <v>0.64583333333333337</v>
      </c>
      <c r="K37" s="6">
        <v>34</v>
      </c>
      <c r="L37" s="6">
        <v>17</v>
      </c>
      <c r="M37" s="6">
        <v>735</v>
      </c>
      <c r="N37" s="6" t="b">
        <v>1</v>
      </c>
      <c r="O37" s="6">
        <v>19</v>
      </c>
      <c r="P37" s="6" t="s">
        <v>32</v>
      </c>
      <c r="Q37" s="9">
        <f t="shared" si="1"/>
        <v>32.756878644445216</v>
      </c>
      <c r="R37" s="10">
        <f>COUNTIF($Q$2:$Q$88,"&gt;"&amp;Q37)+COUNTIF($Q$2:Q37,Q37)</f>
        <v>39</v>
      </c>
    </row>
    <row r="38" spans="1:18" x14ac:dyDescent="0.2">
      <c r="A38" s="6">
        <v>59</v>
      </c>
      <c r="B38" s="6">
        <v>3</v>
      </c>
      <c r="C38" s="6">
        <v>581</v>
      </c>
      <c r="D38" s="6">
        <v>28</v>
      </c>
      <c r="E38" s="6">
        <v>5</v>
      </c>
      <c r="F38" s="7">
        <v>5.8358762090401799E-2</v>
      </c>
      <c r="G38" s="7">
        <v>9.0532606711854202E-2</v>
      </c>
      <c r="H38" s="6">
        <v>482</v>
      </c>
      <c r="I38" s="6">
        <v>29</v>
      </c>
      <c r="J38" s="8">
        <v>0.4583333333333332</v>
      </c>
      <c r="K38" s="6">
        <v>27</v>
      </c>
      <c r="L38" s="6">
        <v>17</v>
      </c>
      <c r="M38" s="6">
        <v>581</v>
      </c>
      <c r="N38" s="6" t="b">
        <v>1</v>
      </c>
      <c r="O38" s="6">
        <v>1</v>
      </c>
      <c r="P38" s="6" t="s">
        <v>31</v>
      </c>
      <c r="Q38" s="9">
        <f t="shared" si="1"/>
        <v>1.5166920954237351</v>
      </c>
      <c r="R38" s="10">
        <f>COUNTIF($Q$2:$Q$88,"&gt;"&amp;Q38)+COUNTIF($Q$2:Q38,Q38)</f>
        <v>78</v>
      </c>
    </row>
    <row r="39" spans="1:18" x14ac:dyDescent="0.2">
      <c r="A39" s="6">
        <v>60</v>
      </c>
      <c r="B39" s="6">
        <v>3</v>
      </c>
      <c r="C39" s="6">
        <v>434</v>
      </c>
      <c r="D39" s="6">
        <v>25</v>
      </c>
      <c r="E39" s="6">
        <v>3</v>
      </c>
      <c r="F39" s="7">
        <v>4.9657905308290402E-2</v>
      </c>
      <c r="G39" s="7">
        <v>7.4031886512745199E-2</v>
      </c>
      <c r="H39" s="6">
        <v>337</v>
      </c>
      <c r="I39" s="6">
        <v>16</v>
      </c>
      <c r="J39" s="8">
        <v>0.45833333333333331</v>
      </c>
      <c r="K39" s="6">
        <v>20</v>
      </c>
      <c r="L39" s="6">
        <v>17</v>
      </c>
      <c r="M39" s="6">
        <v>434</v>
      </c>
      <c r="N39" s="6" t="b">
        <v>1</v>
      </c>
      <c r="O39" s="6">
        <v>5</v>
      </c>
      <c r="P39" s="6" t="s">
        <v>31</v>
      </c>
      <c r="Q39" s="9">
        <f t="shared" si="1"/>
        <v>7.5399561932081181</v>
      </c>
      <c r="R39" s="10">
        <f>COUNTIF($Q$2:$Q$88,"&gt;"&amp;Q39)+COUNTIF($Q$2:Q39,Q39)</f>
        <v>67</v>
      </c>
    </row>
    <row r="40" spans="1:18" x14ac:dyDescent="0.2">
      <c r="A40" s="6">
        <v>61</v>
      </c>
      <c r="B40" s="6">
        <v>3</v>
      </c>
      <c r="C40" s="6">
        <v>532</v>
      </c>
      <c r="D40" s="6">
        <v>31</v>
      </c>
      <c r="E40" s="6">
        <v>2</v>
      </c>
      <c r="F40" s="7">
        <v>5.2353563934136101E-2</v>
      </c>
      <c r="G40" s="7">
        <v>7.9976578561794298E-2</v>
      </c>
      <c r="H40" s="6">
        <v>428</v>
      </c>
      <c r="I40" s="6">
        <v>30</v>
      </c>
      <c r="J40" s="8">
        <v>0.4375</v>
      </c>
      <c r="K40" s="6">
        <v>25</v>
      </c>
      <c r="L40" s="6">
        <v>17</v>
      </c>
      <c r="M40" s="6">
        <v>532</v>
      </c>
      <c r="N40" s="6" t="b">
        <v>1</v>
      </c>
      <c r="O40" s="6">
        <v>6</v>
      </c>
      <c r="P40" s="6" t="s">
        <v>31</v>
      </c>
      <c r="Q40" s="9">
        <f t="shared" si="1"/>
        <v>8.9391213836048173</v>
      </c>
      <c r="R40" s="10">
        <f>COUNTIF($Q$2:$Q$88,"&gt;"&amp;Q40)+COUNTIF($Q$2:Q40,Q40)</f>
        <v>66</v>
      </c>
    </row>
    <row r="41" spans="1:18" x14ac:dyDescent="0.2">
      <c r="A41" s="6">
        <v>62</v>
      </c>
      <c r="B41" s="6">
        <v>3</v>
      </c>
      <c r="C41" s="6">
        <v>889</v>
      </c>
      <c r="D41" s="6">
        <v>44</v>
      </c>
      <c r="E41" s="6">
        <v>6</v>
      </c>
      <c r="F41" s="7">
        <v>5.9013877748327198E-2</v>
      </c>
      <c r="G41" s="7">
        <v>9.2682407003846001E-2</v>
      </c>
      <c r="H41" s="6">
        <v>768</v>
      </c>
      <c r="I41" s="6">
        <v>49</v>
      </c>
      <c r="J41" s="8">
        <v>0.47916666666666669</v>
      </c>
      <c r="K41" s="6">
        <v>41</v>
      </c>
      <c r="L41" s="6">
        <v>17</v>
      </c>
      <c r="M41" s="6">
        <v>889</v>
      </c>
      <c r="N41" s="6" t="b">
        <v>1</v>
      </c>
      <c r="O41" s="6">
        <v>3</v>
      </c>
      <c r="P41" s="6" t="s">
        <v>31</v>
      </c>
      <c r="Q41" s="9">
        <f t="shared" si="1"/>
        <v>4.6145416332449818</v>
      </c>
      <c r="R41" s="10">
        <f>COUNTIF($Q$2:$Q$88,"&gt;"&amp;Q41)+COUNTIF($Q$2:Q41,Q41)</f>
        <v>73</v>
      </c>
    </row>
    <row r="42" spans="1:18" x14ac:dyDescent="0.2">
      <c r="A42" s="6">
        <v>63</v>
      </c>
      <c r="B42" s="6">
        <v>6</v>
      </c>
      <c r="C42" s="6">
        <v>1008</v>
      </c>
      <c r="D42" s="6">
        <v>130</v>
      </c>
      <c r="E42" s="6">
        <v>49</v>
      </c>
      <c r="F42" s="7">
        <v>0.19523055996526181</v>
      </c>
      <c r="G42" s="7">
        <v>0.28418126168649349</v>
      </c>
      <c r="H42" s="6">
        <v>881</v>
      </c>
      <c r="I42" s="6">
        <v>48</v>
      </c>
      <c r="J42" s="8">
        <v>0.85416666666666663</v>
      </c>
      <c r="K42" s="6">
        <v>47</v>
      </c>
      <c r="L42" s="6">
        <v>17</v>
      </c>
      <c r="M42" s="6">
        <v>1008</v>
      </c>
      <c r="N42" s="6" t="b">
        <v>1</v>
      </c>
      <c r="O42" s="6">
        <v>83</v>
      </c>
      <c r="P42" s="6" t="s">
        <v>35</v>
      </c>
      <c r="Q42" s="9">
        <f t="shared" si="1"/>
        <v>170.09996981045003</v>
      </c>
      <c r="R42" s="10">
        <f>COUNTIF($Q$2:$Q$88,"&gt;"&amp;Q42)+COUNTIF($Q$2:Q42,Q42)</f>
        <v>12</v>
      </c>
    </row>
    <row r="43" spans="1:18" x14ac:dyDescent="0.2">
      <c r="A43" s="6">
        <v>65</v>
      </c>
      <c r="B43" s="6">
        <v>6</v>
      </c>
      <c r="C43" s="6">
        <v>602</v>
      </c>
      <c r="D43" s="6">
        <v>79</v>
      </c>
      <c r="E43" s="6">
        <v>34</v>
      </c>
      <c r="F43" s="7">
        <v>0.19665443926447121</v>
      </c>
      <c r="G43" s="7">
        <v>0.27505305632365179</v>
      </c>
      <c r="H43" s="6">
        <v>482</v>
      </c>
      <c r="I43" s="6">
        <v>32</v>
      </c>
      <c r="J43" s="8">
        <v>0.85416666666666652</v>
      </c>
      <c r="K43" s="6">
        <v>28</v>
      </c>
      <c r="L43" s="6">
        <v>17</v>
      </c>
      <c r="M43" s="6">
        <v>602</v>
      </c>
      <c r="N43" s="6" t="b">
        <v>1</v>
      </c>
      <c r="O43" s="6">
        <v>51</v>
      </c>
      <c r="P43" s="6" t="s">
        <v>35</v>
      </c>
      <c r="Q43" s="9">
        <f t="shared" si="1"/>
        <v>104.59187640248803</v>
      </c>
      <c r="R43" s="10">
        <f>COUNTIF($Q$2:$Q$88,"&gt;"&amp;Q43)+COUNTIF($Q$2:Q43,Q43)</f>
        <v>23</v>
      </c>
    </row>
    <row r="44" spans="1:18" x14ac:dyDescent="0.2">
      <c r="A44" s="6">
        <v>66</v>
      </c>
      <c r="B44" s="6">
        <v>5</v>
      </c>
      <c r="C44" s="6">
        <v>420</v>
      </c>
      <c r="D44" s="6">
        <v>41</v>
      </c>
      <c r="E44" s="6">
        <v>11</v>
      </c>
      <c r="F44" s="7">
        <v>0.1393617750893768</v>
      </c>
      <c r="G44" s="7">
        <v>0.1924383566643556</v>
      </c>
      <c r="H44" s="6">
        <v>315</v>
      </c>
      <c r="I44" s="6">
        <v>23</v>
      </c>
      <c r="J44" s="8">
        <v>0.79166666666666663</v>
      </c>
      <c r="K44" s="6">
        <v>0</v>
      </c>
      <c r="L44" s="6">
        <v>0</v>
      </c>
      <c r="M44" s="6">
        <v>420</v>
      </c>
      <c r="N44" s="6" t="b">
        <v>1</v>
      </c>
      <c r="O44" s="6">
        <v>41</v>
      </c>
      <c r="P44" s="6" t="s">
        <v>33</v>
      </c>
      <c r="Q44" s="9">
        <f t="shared" si="1"/>
        <v>79.172166111997768</v>
      </c>
      <c r="R44" s="10">
        <f>COUNTIF($Q$2:$Q$88,"&gt;"&amp;Q44)+COUNTIF($Q$2:Q44,Q44)</f>
        <v>29</v>
      </c>
    </row>
    <row r="45" spans="1:18" x14ac:dyDescent="0.2">
      <c r="A45" s="6">
        <v>67</v>
      </c>
      <c r="B45" s="6">
        <v>4</v>
      </c>
      <c r="C45" s="6">
        <v>364</v>
      </c>
      <c r="D45" s="6">
        <v>27</v>
      </c>
      <c r="E45" s="6">
        <v>0</v>
      </c>
      <c r="F45" s="7">
        <v>7.9505583047247905E-2</v>
      </c>
      <c r="G45" s="7">
        <v>0.1130000581174173</v>
      </c>
      <c r="H45" s="6">
        <v>268</v>
      </c>
      <c r="I45" s="6">
        <v>18</v>
      </c>
      <c r="J45" s="8">
        <v>0.64583333333333337</v>
      </c>
      <c r="K45" s="6">
        <v>17</v>
      </c>
      <c r="L45" s="6">
        <v>17</v>
      </c>
      <c r="M45" s="6">
        <v>364</v>
      </c>
      <c r="N45" s="6" t="b">
        <v>1</v>
      </c>
      <c r="O45" s="6">
        <v>10</v>
      </c>
      <c r="P45" s="6" t="s">
        <v>32</v>
      </c>
      <c r="Q45" s="9">
        <f t="shared" si="1"/>
        <v>17.253389163805814</v>
      </c>
      <c r="R45" s="10">
        <f>COUNTIF($Q$2:$Q$88,"&gt;"&amp;Q45)+COUNTIF($Q$2:Q45,Q45)</f>
        <v>53</v>
      </c>
    </row>
    <row r="46" spans="1:18" x14ac:dyDescent="0.2">
      <c r="A46" s="6">
        <v>68</v>
      </c>
      <c r="B46" s="6">
        <v>4</v>
      </c>
      <c r="C46" s="6">
        <v>413</v>
      </c>
      <c r="D46" s="6">
        <v>29</v>
      </c>
      <c r="E46" s="6">
        <v>7</v>
      </c>
      <c r="F46" s="7">
        <v>7.2516995496932898E-2</v>
      </c>
      <c r="G46" s="7">
        <v>0.1143621094592558</v>
      </c>
      <c r="H46" s="6">
        <v>317</v>
      </c>
      <c r="I46" s="6">
        <v>23</v>
      </c>
      <c r="J46" s="8">
        <v>0.5625</v>
      </c>
      <c r="K46" s="6">
        <v>19</v>
      </c>
      <c r="L46" s="6">
        <v>17</v>
      </c>
      <c r="M46" s="6">
        <v>413</v>
      </c>
      <c r="N46" s="6" t="b">
        <v>1</v>
      </c>
      <c r="O46" s="6">
        <v>10</v>
      </c>
      <c r="P46" s="6" t="s">
        <v>32</v>
      </c>
      <c r="Q46" s="9">
        <f t="shared" si="1"/>
        <v>16.350169954969328</v>
      </c>
      <c r="R46" s="10">
        <f>COUNTIF($Q$2:$Q$88,"&gt;"&amp;Q46)+COUNTIF($Q$2:Q46,Q46)</f>
        <v>55</v>
      </c>
    </row>
    <row r="47" spans="1:18" x14ac:dyDescent="0.2">
      <c r="A47" s="3">
        <v>72</v>
      </c>
      <c r="B47" s="3">
        <v>3</v>
      </c>
      <c r="C47" s="3">
        <v>728</v>
      </c>
      <c r="D47" s="3">
        <v>34</v>
      </c>
      <c r="E47" s="3">
        <v>5</v>
      </c>
      <c r="F47" s="4">
        <v>5.2103814526168801E-2</v>
      </c>
      <c r="G47" s="4">
        <v>8.5261629102862002E-2</v>
      </c>
      <c r="H47" s="3">
        <v>621</v>
      </c>
      <c r="I47" s="3">
        <v>43</v>
      </c>
      <c r="J47" s="11">
        <v>0.3958333333333332</v>
      </c>
      <c r="K47" s="3">
        <v>34</v>
      </c>
      <c r="L47" s="3">
        <v>17</v>
      </c>
      <c r="M47" s="3">
        <v>728</v>
      </c>
      <c r="N47" s="3" t="b">
        <v>0</v>
      </c>
      <c r="O47" s="3">
        <v>0</v>
      </c>
      <c r="P47" s="3" t="s">
        <v>34</v>
      </c>
      <c r="Q47" s="12">
        <f t="shared" si="1"/>
        <v>0</v>
      </c>
      <c r="R47" s="13">
        <f>COUNTIF($Q$2:$Q$88,"&gt;"&amp;Q47)+COUNTIF($Q$2:Q47,Q47)</f>
        <v>83</v>
      </c>
    </row>
    <row r="48" spans="1:18" x14ac:dyDescent="0.2">
      <c r="A48" s="6">
        <v>73</v>
      </c>
      <c r="B48" s="6">
        <v>5</v>
      </c>
      <c r="C48" s="6">
        <v>1043</v>
      </c>
      <c r="D48" s="6">
        <v>114</v>
      </c>
      <c r="E48" s="6">
        <v>24</v>
      </c>
      <c r="F48" s="7">
        <v>0.13796167668327131</v>
      </c>
      <c r="G48" s="7">
        <v>0.20613873976927649</v>
      </c>
      <c r="H48" s="6">
        <v>920</v>
      </c>
      <c r="I48" s="6">
        <v>38</v>
      </c>
      <c r="J48" s="8">
        <v>0.8125</v>
      </c>
      <c r="K48" s="6">
        <v>0</v>
      </c>
      <c r="L48" s="6">
        <v>0</v>
      </c>
      <c r="M48" s="6">
        <v>1043</v>
      </c>
      <c r="N48" s="6" t="b">
        <v>1</v>
      </c>
      <c r="O48" s="6">
        <v>114</v>
      </c>
      <c r="P48" s="6" t="s">
        <v>33</v>
      </c>
      <c r="Q48" s="9">
        <f t="shared" si="1"/>
        <v>222.35263114189294</v>
      </c>
      <c r="R48" s="10">
        <f>COUNTIF($Q$2:$Q$88,"&gt;"&amp;Q48)+COUNTIF($Q$2:Q48,Q48)</f>
        <v>4</v>
      </c>
    </row>
    <row r="49" spans="1:18" x14ac:dyDescent="0.2">
      <c r="A49" s="6">
        <v>74</v>
      </c>
      <c r="B49" s="6">
        <v>5</v>
      </c>
      <c r="C49" s="6">
        <v>420</v>
      </c>
      <c r="D49" s="6">
        <v>36</v>
      </c>
      <c r="E49" s="6">
        <v>8</v>
      </c>
      <c r="F49" s="7">
        <v>0.139146800553657</v>
      </c>
      <c r="G49" s="7">
        <v>0.20170801974420341</v>
      </c>
      <c r="H49" s="6">
        <v>318</v>
      </c>
      <c r="I49" s="6">
        <v>21</v>
      </c>
      <c r="J49" s="8">
        <v>0.79166666666666663</v>
      </c>
      <c r="K49" s="6">
        <v>0</v>
      </c>
      <c r="L49" s="6">
        <v>0</v>
      </c>
      <c r="M49" s="6">
        <v>420</v>
      </c>
      <c r="N49" s="6" t="b">
        <v>1</v>
      </c>
      <c r="O49" s="6">
        <v>36</v>
      </c>
      <c r="P49" s="6" t="s">
        <v>33</v>
      </c>
      <c r="Q49" s="9">
        <f t="shared" si="1"/>
        <v>69.509284819931651</v>
      </c>
      <c r="R49" s="10">
        <f>COUNTIF($Q$2:$Q$88,"&gt;"&amp;Q49)+COUNTIF($Q$2:Q49,Q49)</f>
        <v>31</v>
      </c>
    </row>
    <row r="50" spans="1:18" x14ac:dyDescent="0.2">
      <c r="A50" s="6">
        <v>75</v>
      </c>
      <c r="B50" s="6">
        <v>3</v>
      </c>
      <c r="C50" s="6">
        <v>784</v>
      </c>
      <c r="D50" s="6">
        <v>40</v>
      </c>
      <c r="E50" s="6">
        <v>1</v>
      </c>
      <c r="F50" s="7">
        <v>5.74591052719131E-2</v>
      </c>
      <c r="G50" s="7">
        <v>8.6377108633281394E-2</v>
      </c>
      <c r="H50" s="6">
        <v>666</v>
      </c>
      <c r="I50" s="6">
        <v>39</v>
      </c>
      <c r="J50" s="8">
        <v>0.5</v>
      </c>
      <c r="K50" s="6">
        <v>37</v>
      </c>
      <c r="L50" s="6">
        <v>17</v>
      </c>
      <c r="M50" s="6">
        <v>784</v>
      </c>
      <c r="N50" s="6" t="b">
        <v>1</v>
      </c>
      <c r="O50" s="6">
        <v>3</v>
      </c>
      <c r="P50" s="6" t="s">
        <v>31</v>
      </c>
      <c r="Q50" s="9">
        <f t="shared" si="1"/>
        <v>4.6723773158157389</v>
      </c>
      <c r="R50" s="10">
        <f>COUNTIF($Q$2:$Q$88,"&gt;"&amp;Q50)+COUNTIF($Q$2:Q50,Q50)</f>
        <v>72</v>
      </c>
    </row>
    <row r="51" spans="1:18" x14ac:dyDescent="0.2">
      <c r="A51" s="6">
        <v>76</v>
      </c>
      <c r="B51" s="6">
        <v>5</v>
      </c>
      <c r="C51" s="6">
        <v>427</v>
      </c>
      <c r="D51" s="6">
        <v>41</v>
      </c>
      <c r="E51" s="6">
        <v>10</v>
      </c>
      <c r="F51" s="7">
        <v>0.13864664648991259</v>
      </c>
      <c r="G51" s="7">
        <v>0.19906390350856321</v>
      </c>
      <c r="H51" s="6">
        <v>328</v>
      </c>
      <c r="I51" s="6">
        <v>18</v>
      </c>
      <c r="J51" s="8">
        <v>0.77083333333333337</v>
      </c>
      <c r="K51" s="6">
        <v>0</v>
      </c>
      <c r="L51" s="6">
        <v>0</v>
      </c>
      <c r="M51" s="6">
        <v>427</v>
      </c>
      <c r="N51" s="6" t="b">
        <v>1</v>
      </c>
      <c r="O51" s="6">
        <v>41</v>
      </c>
      <c r="P51" s="6" t="s">
        <v>33</v>
      </c>
      <c r="Q51" s="9">
        <f t="shared" si="1"/>
        <v>78.288679172753078</v>
      </c>
      <c r="R51" s="10">
        <f>COUNTIF($Q$2:$Q$88,"&gt;"&amp;Q51)+COUNTIF($Q$2:Q51,Q51)</f>
        <v>30</v>
      </c>
    </row>
    <row r="52" spans="1:18" x14ac:dyDescent="0.2">
      <c r="A52" s="6">
        <v>77</v>
      </c>
      <c r="B52" s="6">
        <v>3</v>
      </c>
      <c r="C52" s="6">
        <v>560</v>
      </c>
      <c r="D52" s="6">
        <v>31</v>
      </c>
      <c r="E52" s="6">
        <v>4</v>
      </c>
      <c r="F52" s="7">
        <v>5.3166033665731499E-2</v>
      </c>
      <c r="G52" s="7">
        <v>8.8579440833258E-2</v>
      </c>
      <c r="H52" s="6">
        <v>451</v>
      </c>
      <c r="I52" s="6">
        <v>25</v>
      </c>
      <c r="J52" s="8">
        <v>0.41666666666666669</v>
      </c>
      <c r="K52" s="6">
        <v>26</v>
      </c>
      <c r="L52" s="6">
        <v>17</v>
      </c>
      <c r="M52" s="6">
        <v>560</v>
      </c>
      <c r="N52" s="6" t="b">
        <v>1</v>
      </c>
      <c r="O52" s="6">
        <v>5</v>
      </c>
      <c r="P52" s="6" t="s">
        <v>31</v>
      </c>
      <c r="Q52" s="9">
        <f t="shared" si="1"/>
        <v>7.3491635016619918</v>
      </c>
      <c r="R52" s="10">
        <f>COUNTIF($Q$2:$Q$88,"&gt;"&amp;Q52)+COUNTIF($Q$2:Q52,Q52)</f>
        <v>68</v>
      </c>
    </row>
    <row r="53" spans="1:18" x14ac:dyDescent="0.2">
      <c r="A53" s="6">
        <v>78</v>
      </c>
      <c r="B53" s="6">
        <v>3</v>
      </c>
      <c r="C53" s="6">
        <v>749</v>
      </c>
      <c r="D53" s="6">
        <v>50</v>
      </c>
      <c r="E53" s="6">
        <v>6</v>
      </c>
      <c r="F53" s="7">
        <v>5.7719978841270697E-2</v>
      </c>
      <c r="G53" s="7">
        <v>8.9474574175535199E-2</v>
      </c>
      <c r="H53" s="6">
        <v>642</v>
      </c>
      <c r="I53" s="6">
        <v>34</v>
      </c>
      <c r="J53" s="8">
        <v>0.4375</v>
      </c>
      <c r="K53" s="6">
        <v>35</v>
      </c>
      <c r="L53" s="6">
        <v>17</v>
      </c>
      <c r="M53" s="6">
        <v>749</v>
      </c>
      <c r="N53" s="6" t="b">
        <v>1</v>
      </c>
      <c r="O53" s="6">
        <v>15</v>
      </c>
      <c r="P53" s="6" t="s">
        <v>31</v>
      </c>
      <c r="Q53" s="9">
        <f t="shared" si="1"/>
        <v>22.428299682619063</v>
      </c>
      <c r="R53" s="10">
        <f>COUNTIF($Q$2:$Q$88,"&gt;"&amp;Q53)+COUNTIF($Q$2:Q53,Q53)</f>
        <v>47</v>
      </c>
    </row>
    <row r="54" spans="1:18" x14ac:dyDescent="0.2">
      <c r="A54" s="6">
        <v>79</v>
      </c>
      <c r="B54" s="6">
        <v>6</v>
      </c>
      <c r="C54" s="6">
        <v>833</v>
      </c>
      <c r="D54" s="6">
        <v>119</v>
      </c>
      <c r="E54" s="6">
        <v>45</v>
      </c>
      <c r="F54" s="7">
        <v>0.19096828166734409</v>
      </c>
      <c r="G54" s="7">
        <v>0.27229693728920101</v>
      </c>
      <c r="H54" s="6">
        <v>712</v>
      </c>
      <c r="I54" s="6">
        <v>31</v>
      </c>
      <c r="J54" s="8">
        <v>0.89583333333333337</v>
      </c>
      <c r="K54" s="6">
        <v>39</v>
      </c>
      <c r="L54" s="6">
        <v>17</v>
      </c>
      <c r="M54" s="6">
        <v>833</v>
      </c>
      <c r="N54" s="6" t="b">
        <v>1</v>
      </c>
      <c r="O54" s="6">
        <v>80</v>
      </c>
      <c r="P54" s="6" t="s">
        <v>35</v>
      </c>
      <c r="Q54" s="9">
        <f t="shared" si="1"/>
        <v>166.94412920005419</v>
      </c>
      <c r="R54" s="10">
        <f>COUNTIF($Q$2:$Q$88,"&gt;"&amp;Q54)+COUNTIF($Q$2:Q54,Q54)</f>
        <v>13</v>
      </c>
    </row>
    <row r="55" spans="1:18" x14ac:dyDescent="0.2">
      <c r="A55" s="6">
        <v>80</v>
      </c>
      <c r="B55" s="6">
        <v>5</v>
      </c>
      <c r="C55" s="6">
        <v>994</v>
      </c>
      <c r="D55" s="6">
        <v>129</v>
      </c>
      <c r="E55" s="6">
        <v>35</v>
      </c>
      <c r="F55" s="7">
        <v>0.1531725294142221</v>
      </c>
      <c r="G55" s="7">
        <v>0.217228851070144</v>
      </c>
      <c r="H55" s="6">
        <v>867</v>
      </c>
      <c r="I55" s="6">
        <v>31</v>
      </c>
      <c r="J55" s="8">
        <v>0.79166666666666663</v>
      </c>
      <c r="K55" s="6">
        <v>0</v>
      </c>
      <c r="L55" s="6">
        <v>0</v>
      </c>
      <c r="M55" s="6">
        <v>994</v>
      </c>
      <c r="N55" s="6" t="b">
        <v>1</v>
      </c>
      <c r="O55" s="6">
        <v>129</v>
      </c>
      <c r="P55" s="6" t="s">
        <v>33</v>
      </c>
      <c r="Q55" s="9">
        <f t="shared" si="1"/>
        <v>250.88425629443466</v>
      </c>
      <c r="R55" s="10">
        <f>COUNTIF($Q$2:$Q$88,"&gt;"&amp;Q55)+COUNTIF($Q$2:Q55,Q55)</f>
        <v>1</v>
      </c>
    </row>
    <row r="56" spans="1:18" x14ac:dyDescent="0.2">
      <c r="A56" s="6">
        <v>83</v>
      </c>
      <c r="B56" s="6">
        <v>4</v>
      </c>
      <c r="C56" s="6">
        <v>812</v>
      </c>
      <c r="D56" s="6">
        <v>49</v>
      </c>
      <c r="E56" s="6">
        <v>10</v>
      </c>
      <c r="F56" s="7">
        <v>7.65131492568948E-2</v>
      </c>
      <c r="G56" s="7">
        <v>0.12582495303333949</v>
      </c>
      <c r="H56" s="6">
        <v>697</v>
      </c>
      <c r="I56" s="6">
        <v>45</v>
      </c>
      <c r="J56" s="8">
        <v>0.60416666666666663</v>
      </c>
      <c r="K56" s="6">
        <v>38</v>
      </c>
      <c r="L56" s="6">
        <v>17</v>
      </c>
      <c r="M56" s="6">
        <v>812</v>
      </c>
      <c r="N56" s="6" t="b">
        <v>1</v>
      </c>
      <c r="O56" s="6">
        <v>11</v>
      </c>
      <c r="P56" s="6" t="s">
        <v>32</v>
      </c>
      <c r="Q56" s="9">
        <f t="shared" si="1"/>
        <v>18.487477975159177</v>
      </c>
      <c r="R56" s="10">
        <f>COUNTIF($Q$2:$Q$88,"&gt;"&amp;Q56)+COUNTIF($Q$2:Q56,Q56)</f>
        <v>52</v>
      </c>
    </row>
    <row r="57" spans="1:18" x14ac:dyDescent="0.2">
      <c r="A57" s="6">
        <v>84</v>
      </c>
      <c r="B57" s="6">
        <v>4</v>
      </c>
      <c r="C57" s="6">
        <v>707</v>
      </c>
      <c r="D57" s="6">
        <v>47</v>
      </c>
      <c r="E57" s="6">
        <v>6</v>
      </c>
      <c r="F57" s="7">
        <v>7.9789734696452896E-2</v>
      </c>
      <c r="G57" s="7">
        <v>0.1348507909115764</v>
      </c>
      <c r="H57" s="6">
        <v>590</v>
      </c>
      <c r="I57" s="6">
        <v>26</v>
      </c>
      <c r="J57" s="8">
        <v>0.64583333333333337</v>
      </c>
      <c r="K57" s="6">
        <v>33</v>
      </c>
      <c r="L57" s="6">
        <v>17</v>
      </c>
      <c r="M57" s="6">
        <v>707</v>
      </c>
      <c r="N57" s="6" t="b">
        <v>1</v>
      </c>
      <c r="O57" s="6">
        <v>14</v>
      </c>
      <c r="P57" s="6" t="s">
        <v>32</v>
      </c>
      <c r="Q57" s="9">
        <f t="shared" si="1"/>
        <v>24.158722952417008</v>
      </c>
      <c r="R57" s="10">
        <f>COUNTIF($Q$2:$Q$88,"&gt;"&amp;Q57)+COUNTIF($Q$2:Q57,Q57)</f>
        <v>44</v>
      </c>
    </row>
    <row r="58" spans="1:18" x14ac:dyDescent="0.2">
      <c r="A58" s="6">
        <v>85</v>
      </c>
      <c r="B58" s="6">
        <v>5</v>
      </c>
      <c r="C58" s="6">
        <v>448</v>
      </c>
      <c r="D58" s="6">
        <v>55</v>
      </c>
      <c r="E58" s="6">
        <v>16</v>
      </c>
      <c r="F58" s="7">
        <v>0.1389082888904076</v>
      </c>
      <c r="G58" s="7">
        <v>0.1982239792759283</v>
      </c>
      <c r="H58" s="6">
        <v>342</v>
      </c>
      <c r="I58" s="6">
        <v>23</v>
      </c>
      <c r="J58" s="8">
        <v>0.75</v>
      </c>
      <c r="K58" s="6">
        <v>0</v>
      </c>
      <c r="L58" s="6">
        <v>0</v>
      </c>
      <c r="M58" s="6">
        <v>448</v>
      </c>
      <c r="N58" s="6" t="b">
        <v>1</v>
      </c>
      <c r="O58" s="6">
        <v>55</v>
      </c>
      <c r="P58" s="6" t="s">
        <v>33</v>
      </c>
      <c r="Q58" s="9">
        <f t="shared" si="1"/>
        <v>103.88995588897242</v>
      </c>
      <c r="R58" s="10">
        <f>COUNTIF($Q$2:$Q$88,"&gt;"&amp;Q58)+COUNTIF($Q$2:Q58,Q58)</f>
        <v>24</v>
      </c>
    </row>
    <row r="59" spans="1:18" x14ac:dyDescent="0.2">
      <c r="A59" s="6">
        <v>86</v>
      </c>
      <c r="B59" s="6">
        <v>4</v>
      </c>
      <c r="C59" s="6">
        <v>427</v>
      </c>
      <c r="D59" s="6">
        <v>24</v>
      </c>
      <c r="E59" s="6">
        <v>4</v>
      </c>
      <c r="F59" s="7">
        <v>7.1112564201975301E-2</v>
      </c>
      <c r="G59" s="7">
        <v>0.1100226838673188</v>
      </c>
      <c r="H59" s="6">
        <v>316</v>
      </c>
      <c r="I59" s="6">
        <v>28</v>
      </c>
      <c r="J59" s="8">
        <v>0.52083333333333337</v>
      </c>
      <c r="K59" s="6">
        <v>20</v>
      </c>
      <c r="L59" s="6">
        <v>17</v>
      </c>
      <c r="M59" s="6">
        <v>427</v>
      </c>
      <c r="N59" s="6" t="b">
        <v>1</v>
      </c>
      <c r="O59" s="6">
        <v>4</v>
      </c>
      <c r="P59" s="6" t="s">
        <v>32</v>
      </c>
      <c r="Q59" s="9">
        <f t="shared" si="1"/>
        <v>6.3677835901412347</v>
      </c>
      <c r="R59" s="10">
        <f>COUNTIF($Q$2:$Q$88,"&gt;"&amp;Q59)+COUNTIF($Q$2:Q59,Q59)</f>
        <v>71</v>
      </c>
    </row>
    <row r="60" spans="1:18" x14ac:dyDescent="0.2">
      <c r="A60" s="6">
        <v>87</v>
      </c>
      <c r="B60" s="6">
        <v>5</v>
      </c>
      <c r="C60" s="6">
        <v>525</v>
      </c>
      <c r="D60" s="6">
        <v>67</v>
      </c>
      <c r="E60" s="6">
        <v>12</v>
      </c>
      <c r="F60" s="7">
        <v>0.14730939487804909</v>
      </c>
      <c r="G60" s="7">
        <v>0.2053932377592044</v>
      </c>
      <c r="H60" s="6">
        <v>413</v>
      </c>
      <c r="I60" s="6">
        <v>19</v>
      </c>
      <c r="J60" s="8">
        <v>0.83333333333333337</v>
      </c>
      <c r="K60" s="6">
        <v>0</v>
      </c>
      <c r="L60" s="6">
        <v>0</v>
      </c>
      <c r="M60" s="6">
        <v>525</v>
      </c>
      <c r="N60" s="6" t="b">
        <v>1</v>
      </c>
      <c r="O60" s="6">
        <v>67</v>
      </c>
      <c r="P60" s="6" t="s">
        <v>33</v>
      </c>
      <c r="Q60" s="9">
        <f t="shared" si="1"/>
        <v>132.70306279016262</v>
      </c>
      <c r="R60" s="10">
        <f>COUNTIF($Q$2:$Q$88,"&gt;"&amp;Q60)+COUNTIF($Q$2:Q60,Q60)</f>
        <v>22</v>
      </c>
    </row>
    <row r="61" spans="1:18" x14ac:dyDescent="0.2">
      <c r="A61" s="6">
        <v>88</v>
      </c>
      <c r="B61" s="6">
        <v>5</v>
      </c>
      <c r="C61" s="6">
        <v>791</v>
      </c>
      <c r="D61" s="6">
        <v>89</v>
      </c>
      <c r="E61" s="6">
        <v>25</v>
      </c>
      <c r="F61" s="7">
        <v>0.1455362388746832</v>
      </c>
      <c r="G61" s="7">
        <v>0.2146056572375758</v>
      </c>
      <c r="H61" s="6">
        <v>680</v>
      </c>
      <c r="I61" s="6">
        <v>26</v>
      </c>
      <c r="J61" s="8">
        <v>0.70833333333333348</v>
      </c>
      <c r="K61" s="6">
        <v>0</v>
      </c>
      <c r="L61" s="6">
        <v>0</v>
      </c>
      <c r="M61" s="6">
        <v>791</v>
      </c>
      <c r="N61" s="6" t="b">
        <v>1</v>
      </c>
      <c r="O61" s="6">
        <v>89</v>
      </c>
      <c r="P61" s="6" t="s">
        <v>33</v>
      </c>
      <c r="Q61" s="9">
        <f t="shared" si="1"/>
        <v>164.99439192651349</v>
      </c>
      <c r="R61" s="10">
        <f>COUNTIF($Q$2:$Q$88,"&gt;"&amp;Q61)+COUNTIF($Q$2:Q61,Q61)</f>
        <v>14</v>
      </c>
    </row>
    <row r="62" spans="1:18" x14ac:dyDescent="0.2">
      <c r="A62" s="6">
        <v>89</v>
      </c>
      <c r="B62" s="6">
        <v>6</v>
      </c>
      <c r="C62" s="6">
        <v>378</v>
      </c>
      <c r="D62" s="6">
        <v>49</v>
      </c>
      <c r="E62" s="6">
        <v>19</v>
      </c>
      <c r="F62" s="7">
        <v>0.1902075112005053</v>
      </c>
      <c r="G62" s="7">
        <v>0.25673627393389398</v>
      </c>
      <c r="H62" s="6">
        <v>278</v>
      </c>
      <c r="I62" s="6">
        <v>19</v>
      </c>
      <c r="J62" s="8">
        <v>0.97916666666666663</v>
      </c>
      <c r="K62" s="6">
        <v>18</v>
      </c>
      <c r="L62" s="6">
        <v>17</v>
      </c>
      <c r="M62" s="6">
        <v>378</v>
      </c>
      <c r="N62" s="6" t="b">
        <v>1</v>
      </c>
      <c r="O62" s="6">
        <v>31</v>
      </c>
      <c r="P62" s="6" t="s">
        <v>35</v>
      </c>
      <c r="Q62" s="9">
        <f t="shared" si="1"/>
        <v>67.250599513882335</v>
      </c>
      <c r="R62" s="10">
        <f>COUNTIF($Q$2:$Q$88,"&gt;"&amp;Q62)+COUNTIF($Q$2:Q62,Q62)</f>
        <v>32</v>
      </c>
    </row>
    <row r="63" spans="1:18" x14ac:dyDescent="0.2">
      <c r="A63" s="6">
        <v>90</v>
      </c>
      <c r="B63" s="6">
        <v>6</v>
      </c>
      <c r="C63" s="6">
        <v>826</v>
      </c>
      <c r="D63" s="6">
        <v>116</v>
      </c>
      <c r="E63" s="6">
        <v>53</v>
      </c>
      <c r="F63" s="7">
        <v>0.1949398234536158</v>
      </c>
      <c r="G63" s="7">
        <v>0.27816230021484378</v>
      </c>
      <c r="H63" s="6">
        <v>701</v>
      </c>
      <c r="I63" s="6">
        <v>32</v>
      </c>
      <c r="J63" s="8">
        <v>1</v>
      </c>
      <c r="K63" s="6">
        <v>38</v>
      </c>
      <c r="L63" s="6">
        <v>17</v>
      </c>
      <c r="M63" s="6">
        <v>826</v>
      </c>
      <c r="N63" s="6" t="b">
        <v>1</v>
      </c>
      <c r="O63" s="6">
        <v>78</v>
      </c>
      <c r="P63" s="6" t="s">
        <v>35</v>
      </c>
      <c r="Q63" s="9">
        <f t="shared" si="1"/>
        <v>171.20530622938202</v>
      </c>
      <c r="R63" s="10">
        <f>COUNTIF($Q$2:$Q$88,"&gt;"&amp;Q63)+COUNTIF($Q$2:Q63,Q63)</f>
        <v>11</v>
      </c>
    </row>
    <row r="64" spans="1:18" x14ac:dyDescent="0.2">
      <c r="A64" s="6">
        <v>91</v>
      </c>
      <c r="B64" s="6">
        <v>3</v>
      </c>
      <c r="C64" s="6">
        <v>602</v>
      </c>
      <c r="D64" s="6">
        <v>42</v>
      </c>
      <c r="E64" s="6">
        <v>8</v>
      </c>
      <c r="F64" s="7">
        <v>5.9191993058290399E-2</v>
      </c>
      <c r="G64" s="7">
        <v>8.9629175619540105E-2</v>
      </c>
      <c r="H64" s="6">
        <v>495</v>
      </c>
      <c r="I64" s="6">
        <v>27</v>
      </c>
      <c r="J64" s="8">
        <v>0.4583333333333332</v>
      </c>
      <c r="K64" s="6">
        <v>28</v>
      </c>
      <c r="L64" s="6">
        <v>17</v>
      </c>
      <c r="M64" s="6">
        <v>602</v>
      </c>
      <c r="N64" s="6" t="b">
        <v>1</v>
      </c>
      <c r="O64" s="6">
        <v>14</v>
      </c>
      <c r="P64" s="6" t="s">
        <v>31</v>
      </c>
      <c r="Q64" s="9">
        <f t="shared" si="1"/>
        <v>21.245354569482732</v>
      </c>
      <c r="R64" s="10">
        <f>COUNTIF($Q$2:$Q$88,"&gt;"&amp;Q64)+COUNTIF($Q$2:Q64,Q64)</f>
        <v>48</v>
      </c>
    </row>
    <row r="65" spans="1:18" x14ac:dyDescent="0.2">
      <c r="A65" s="6">
        <v>92</v>
      </c>
      <c r="B65" s="6">
        <v>5</v>
      </c>
      <c r="C65" s="6">
        <v>840</v>
      </c>
      <c r="D65" s="6">
        <v>97</v>
      </c>
      <c r="E65" s="6">
        <v>26</v>
      </c>
      <c r="F65" s="7">
        <v>0.14791609785567089</v>
      </c>
      <c r="G65" s="7">
        <v>0.20724490457211919</v>
      </c>
      <c r="H65" s="6">
        <v>715</v>
      </c>
      <c r="I65" s="6">
        <v>33</v>
      </c>
      <c r="J65" s="8">
        <v>0.79166666666666663</v>
      </c>
      <c r="K65" s="6">
        <v>0</v>
      </c>
      <c r="L65" s="6">
        <v>0</v>
      </c>
      <c r="M65" s="6">
        <v>840</v>
      </c>
      <c r="N65" s="6" t="b">
        <v>1</v>
      </c>
      <c r="O65" s="6">
        <v>97</v>
      </c>
      <c r="P65" s="6" t="s">
        <v>33</v>
      </c>
      <c r="Q65" s="9">
        <f t="shared" si="1"/>
        <v>188.13952815866674</v>
      </c>
      <c r="R65" s="10">
        <f>COUNTIF($Q$2:$Q$88,"&gt;"&amp;Q65)+COUNTIF($Q$2:Q65,Q65)</f>
        <v>8</v>
      </c>
    </row>
    <row r="66" spans="1:18" x14ac:dyDescent="0.2">
      <c r="A66" s="6">
        <v>96</v>
      </c>
      <c r="B66" s="6">
        <v>4</v>
      </c>
      <c r="C66" s="6">
        <v>959</v>
      </c>
      <c r="D66" s="6">
        <v>77</v>
      </c>
      <c r="E66" s="6">
        <v>6</v>
      </c>
      <c r="F66" s="7">
        <v>8.1235740352297595E-2</v>
      </c>
      <c r="G66" s="7">
        <v>0.13227588114357369</v>
      </c>
      <c r="H66" s="6">
        <v>835</v>
      </c>
      <c r="I66" s="6">
        <v>47</v>
      </c>
      <c r="J66" s="8">
        <v>0.625</v>
      </c>
      <c r="K66" s="6">
        <v>45</v>
      </c>
      <c r="L66" s="6">
        <v>17</v>
      </c>
      <c r="M66" s="6">
        <v>959</v>
      </c>
      <c r="N66" s="6" t="b">
        <v>1</v>
      </c>
      <c r="O66" s="6">
        <v>32</v>
      </c>
      <c r="P66" s="6" t="s">
        <v>32</v>
      </c>
      <c r="Q66" s="9">
        <f t="shared" ref="Q66:Q88" si="2">IF(N66,O66*(1+F66+J66),0)</f>
        <v>54.599543691273524</v>
      </c>
      <c r="R66" s="10">
        <f>COUNTIF($Q$2:$Q$88,"&gt;"&amp;Q66)+COUNTIF($Q$2:Q66,Q66)</f>
        <v>33</v>
      </c>
    </row>
    <row r="67" spans="1:18" x14ac:dyDescent="0.2">
      <c r="A67" s="6">
        <v>97</v>
      </c>
      <c r="B67" s="6">
        <v>4</v>
      </c>
      <c r="C67" s="6">
        <v>637</v>
      </c>
      <c r="D67" s="6">
        <v>45</v>
      </c>
      <c r="E67" s="6">
        <v>5</v>
      </c>
      <c r="F67" s="7">
        <v>7.8146284416177506E-2</v>
      </c>
      <c r="G67" s="7">
        <v>0.1276560583697578</v>
      </c>
      <c r="H67" s="6">
        <v>528</v>
      </c>
      <c r="I67" s="6">
        <v>36</v>
      </c>
      <c r="J67" s="8">
        <v>0.5625</v>
      </c>
      <c r="K67" s="6">
        <v>30</v>
      </c>
      <c r="L67" s="6">
        <v>17</v>
      </c>
      <c r="M67" s="6">
        <v>637</v>
      </c>
      <c r="N67" s="6" t="b">
        <v>1</v>
      </c>
      <c r="O67" s="6">
        <v>15</v>
      </c>
      <c r="P67" s="6" t="s">
        <v>32</v>
      </c>
      <c r="Q67" s="9">
        <f t="shared" si="2"/>
        <v>24.609694266242663</v>
      </c>
      <c r="R67" s="10">
        <f>COUNTIF($Q$2:$Q$88,"&gt;"&amp;Q67)+COUNTIF($Q$2:Q67,Q67)</f>
        <v>43</v>
      </c>
    </row>
    <row r="68" spans="1:18" x14ac:dyDescent="0.2">
      <c r="A68" s="6">
        <v>98</v>
      </c>
      <c r="B68" s="6">
        <v>4</v>
      </c>
      <c r="C68" s="6">
        <v>889</v>
      </c>
      <c r="D68" s="6">
        <v>63</v>
      </c>
      <c r="E68" s="6">
        <v>6</v>
      </c>
      <c r="F68" s="7">
        <v>8.6671314567629498E-2</v>
      </c>
      <c r="G68" s="7">
        <v>0.13023880437985871</v>
      </c>
      <c r="H68" s="6">
        <v>770</v>
      </c>
      <c r="I68" s="6">
        <v>28</v>
      </c>
      <c r="J68" s="8">
        <v>0.52083333333333337</v>
      </c>
      <c r="K68" s="6">
        <v>41</v>
      </c>
      <c r="L68" s="6">
        <v>17</v>
      </c>
      <c r="M68" s="6">
        <v>889</v>
      </c>
      <c r="N68" s="6" t="b">
        <v>1</v>
      </c>
      <c r="O68" s="6">
        <v>22</v>
      </c>
      <c r="P68" s="6" t="s">
        <v>32</v>
      </c>
      <c r="Q68" s="9">
        <f t="shared" si="2"/>
        <v>35.365102253821178</v>
      </c>
      <c r="R68" s="10">
        <f>COUNTIF($Q$2:$Q$88,"&gt;"&amp;Q68)+COUNTIF($Q$2:Q68,Q68)</f>
        <v>37</v>
      </c>
    </row>
    <row r="69" spans="1:18" x14ac:dyDescent="0.2">
      <c r="A69" s="6">
        <v>99</v>
      </c>
      <c r="B69" s="6">
        <v>5</v>
      </c>
      <c r="C69" s="6">
        <v>903</v>
      </c>
      <c r="D69" s="6">
        <v>103</v>
      </c>
      <c r="E69" s="6">
        <v>36</v>
      </c>
      <c r="F69" s="7">
        <v>0.14900192904343279</v>
      </c>
      <c r="G69" s="7">
        <v>0.22404332712656599</v>
      </c>
      <c r="H69" s="6">
        <v>783</v>
      </c>
      <c r="I69" s="6">
        <v>47</v>
      </c>
      <c r="J69" s="8">
        <v>0.75</v>
      </c>
      <c r="K69" s="6">
        <v>0</v>
      </c>
      <c r="L69" s="6">
        <v>0</v>
      </c>
      <c r="M69" s="6">
        <v>903</v>
      </c>
      <c r="N69" s="6" t="b">
        <v>1</v>
      </c>
      <c r="O69" s="6">
        <v>103</v>
      </c>
      <c r="P69" s="6" t="s">
        <v>33</v>
      </c>
      <c r="Q69" s="9">
        <f t="shared" si="2"/>
        <v>195.59719869147358</v>
      </c>
      <c r="R69" s="10">
        <f>COUNTIF($Q$2:$Q$88,"&gt;"&amp;Q69)+COUNTIF($Q$2:Q69,Q69)</f>
        <v>6</v>
      </c>
    </row>
    <row r="70" spans="1:18" x14ac:dyDescent="0.2">
      <c r="A70" s="3">
        <v>100</v>
      </c>
      <c r="B70" s="3">
        <v>3</v>
      </c>
      <c r="C70" s="3">
        <v>490</v>
      </c>
      <c r="D70" s="3">
        <v>20</v>
      </c>
      <c r="E70" s="3">
        <v>4</v>
      </c>
      <c r="F70" s="4">
        <v>5.3619658719956602E-2</v>
      </c>
      <c r="G70" s="4">
        <v>8.2029831191735597E-2</v>
      </c>
      <c r="H70" s="3">
        <v>390</v>
      </c>
      <c r="I70" s="3">
        <v>24</v>
      </c>
      <c r="J70" s="11">
        <v>0.35416666666666669</v>
      </c>
      <c r="K70" s="3">
        <v>23</v>
      </c>
      <c r="L70" s="3">
        <v>17</v>
      </c>
      <c r="M70" s="3">
        <v>490</v>
      </c>
      <c r="N70" s="3" t="b">
        <v>0</v>
      </c>
      <c r="O70" s="3">
        <v>0</v>
      </c>
      <c r="P70" s="3" t="s">
        <v>34</v>
      </c>
      <c r="Q70" s="12">
        <f t="shared" si="2"/>
        <v>0</v>
      </c>
      <c r="R70" s="13">
        <f>COUNTIF($Q$2:$Q$88,"&gt;"&amp;Q70)+COUNTIF($Q$2:Q70,Q70)</f>
        <v>84</v>
      </c>
    </row>
    <row r="71" spans="1:18" x14ac:dyDescent="0.2">
      <c r="A71" s="6">
        <v>101</v>
      </c>
      <c r="B71" s="6">
        <v>3</v>
      </c>
      <c r="C71" s="6">
        <v>826</v>
      </c>
      <c r="D71" s="6">
        <v>39</v>
      </c>
      <c r="E71" s="6">
        <v>6</v>
      </c>
      <c r="F71" s="7">
        <v>5.8313071276283601E-2</v>
      </c>
      <c r="G71" s="7">
        <v>8.9677049834907194E-2</v>
      </c>
      <c r="H71" s="6">
        <v>716</v>
      </c>
      <c r="I71" s="6">
        <v>29</v>
      </c>
      <c r="J71" s="8">
        <v>0.45833333333333331</v>
      </c>
      <c r="K71" s="6">
        <v>38</v>
      </c>
      <c r="L71" s="6">
        <v>17</v>
      </c>
      <c r="M71" s="6">
        <v>826</v>
      </c>
      <c r="N71" s="6" t="b">
        <v>1</v>
      </c>
      <c r="O71" s="6">
        <v>1</v>
      </c>
      <c r="P71" s="6" t="s">
        <v>31</v>
      </c>
      <c r="Q71" s="9">
        <f t="shared" si="2"/>
        <v>1.5166464046096169</v>
      </c>
      <c r="R71" s="10">
        <f>COUNTIF($Q$2:$Q$88,"&gt;"&amp;Q71)+COUNTIF($Q$2:Q71,Q71)</f>
        <v>79</v>
      </c>
    </row>
    <row r="72" spans="1:18" x14ac:dyDescent="0.2">
      <c r="A72" s="6">
        <v>102</v>
      </c>
      <c r="B72" s="6">
        <v>3</v>
      </c>
      <c r="C72" s="6">
        <v>693</v>
      </c>
      <c r="D72" s="6">
        <v>43</v>
      </c>
      <c r="E72" s="6">
        <v>6</v>
      </c>
      <c r="F72" s="7">
        <v>5.63815152692786E-2</v>
      </c>
      <c r="G72" s="7">
        <v>8.84136595875466E-2</v>
      </c>
      <c r="H72" s="6">
        <v>578</v>
      </c>
      <c r="I72" s="6">
        <v>53</v>
      </c>
      <c r="J72" s="8">
        <v>0.35416666666666669</v>
      </c>
      <c r="K72" s="6">
        <v>32</v>
      </c>
      <c r="L72" s="6">
        <v>17</v>
      </c>
      <c r="M72" s="6">
        <v>693</v>
      </c>
      <c r="N72" s="6" t="b">
        <v>1</v>
      </c>
      <c r="O72" s="6">
        <v>11</v>
      </c>
      <c r="P72" s="6" t="s">
        <v>31</v>
      </c>
      <c r="Q72" s="9">
        <f t="shared" si="2"/>
        <v>15.516030001295398</v>
      </c>
      <c r="R72" s="10">
        <f>COUNTIF($Q$2:$Q$88,"&gt;"&amp;Q72)+COUNTIF($Q$2:Q72,Q72)</f>
        <v>56</v>
      </c>
    </row>
    <row r="73" spans="1:18" x14ac:dyDescent="0.2">
      <c r="A73" s="6">
        <v>103</v>
      </c>
      <c r="B73" s="6">
        <v>4</v>
      </c>
      <c r="C73" s="6">
        <v>560</v>
      </c>
      <c r="D73" s="6">
        <v>32</v>
      </c>
      <c r="E73" s="6">
        <v>6</v>
      </c>
      <c r="F73" s="7">
        <v>7.7385508141336296E-2</v>
      </c>
      <c r="G73" s="7">
        <v>0.1248804069700902</v>
      </c>
      <c r="H73" s="6">
        <v>459</v>
      </c>
      <c r="I73" s="6">
        <v>33</v>
      </c>
      <c r="J73" s="8">
        <v>0.54166666666666663</v>
      </c>
      <c r="K73" s="6">
        <v>26</v>
      </c>
      <c r="L73" s="6">
        <v>17</v>
      </c>
      <c r="M73" s="6">
        <v>560</v>
      </c>
      <c r="N73" s="6" t="b">
        <v>1</v>
      </c>
      <c r="O73" s="6">
        <v>6</v>
      </c>
      <c r="P73" s="6" t="s">
        <v>32</v>
      </c>
      <c r="Q73" s="9">
        <f t="shared" si="2"/>
        <v>9.7143130488480196</v>
      </c>
      <c r="R73" s="10">
        <f>COUNTIF($Q$2:$Q$88,"&gt;"&amp;Q73)+COUNTIF($Q$2:Q73,Q73)</f>
        <v>63</v>
      </c>
    </row>
    <row r="74" spans="1:18" x14ac:dyDescent="0.2">
      <c r="A74" s="3">
        <v>104</v>
      </c>
      <c r="B74" s="3">
        <v>3</v>
      </c>
      <c r="C74" s="3">
        <v>427</v>
      </c>
      <c r="D74" s="3">
        <v>17</v>
      </c>
      <c r="E74" s="3">
        <v>1</v>
      </c>
      <c r="F74" s="4">
        <v>5.4501429152319598E-2</v>
      </c>
      <c r="G74" s="4">
        <v>8.5040349545803098E-2</v>
      </c>
      <c r="H74" s="3">
        <v>326</v>
      </c>
      <c r="I74" s="3">
        <v>24</v>
      </c>
      <c r="J74" s="11">
        <v>0.5</v>
      </c>
      <c r="K74" s="3">
        <v>20</v>
      </c>
      <c r="L74" s="3">
        <v>17</v>
      </c>
      <c r="M74" s="3">
        <v>427</v>
      </c>
      <c r="N74" s="3" t="b">
        <v>0</v>
      </c>
      <c r="O74" s="3">
        <v>0</v>
      </c>
      <c r="P74" s="3" t="s">
        <v>34</v>
      </c>
      <c r="Q74" s="12">
        <f t="shared" si="2"/>
        <v>0</v>
      </c>
      <c r="R74" s="13">
        <f>COUNTIF($Q$2:$Q$88,"&gt;"&amp;Q74)+COUNTIF($Q$2:Q74,Q74)</f>
        <v>85</v>
      </c>
    </row>
    <row r="75" spans="1:18" x14ac:dyDescent="0.2">
      <c r="A75" s="6">
        <v>105</v>
      </c>
      <c r="B75" s="6">
        <v>3</v>
      </c>
      <c r="C75" s="6">
        <v>1008</v>
      </c>
      <c r="D75" s="6">
        <v>60</v>
      </c>
      <c r="E75" s="6">
        <v>11</v>
      </c>
      <c r="F75" s="7">
        <v>6.0780451478330999E-2</v>
      </c>
      <c r="G75" s="7">
        <v>9.3967596642227202E-2</v>
      </c>
      <c r="H75" s="6">
        <v>887</v>
      </c>
      <c r="I75" s="6">
        <v>41</v>
      </c>
      <c r="J75" s="8">
        <v>0.47916666666666669</v>
      </c>
      <c r="K75" s="6">
        <v>47</v>
      </c>
      <c r="L75" s="6">
        <v>17</v>
      </c>
      <c r="M75" s="6">
        <v>1008</v>
      </c>
      <c r="N75" s="6" t="b">
        <v>1</v>
      </c>
      <c r="O75" s="6">
        <v>13</v>
      </c>
      <c r="P75" s="6" t="s">
        <v>31</v>
      </c>
      <c r="Q75" s="9">
        <f t="shared" si="2"/>
        <v>20.019312535884971</v>
      </c>
      <c r="R75" s="10">
        <f>COUNTIF($Q$2:$Q$88,"&gt;"&amp;Q75)+COUNTIF($Q$2:Q75,Q75)</f>
        <v>51</v>
      </c>
    </row>
    <row r="76" spans="1:18" x14ac:dyDescent="0.2">
      <c r="A76" s="3">
        <v>106</v>
      </c>
      <c r="B76" s="3">
        <v>3</v>
      </c>
      <c r="C76" s="3">
        <v>728</v>
      </c>
      <c r="D76" s="3">
        <v>33</v>
      </c>
      <c r="E76" s="3">
        <v>2</v>
      </c>
      <c r="F76" s="4">
        <v>5.1927899183100201E-2</v>
      </c>
      <c r="G76" s="4">
        <v>8.6437091895762194E-2</v>
      </c>
      <c r="H76" s="3">
        <v>613</v>
      </c>
      <c r="I76" s="3">
        <v>33</v>
      </c>
      <c r="J76" s="11">
        <v>0.375</v>
      </c>
      <c r="K76" s="3">
        <v>34</v>
      </c>
      <c r="L76" s="3">
        <v>17</v>
      </c>
      <c r="M76" s="3">
        <v>728</v>
      </c>
      <c r="N76" s="3" t="b">
        <v>0</v>
      </c>
      <c r="O76" s="3">
        <v>0</v>
      </c>
      <c r="P76" s="3" t="s">
        <v>34</v>
      </c>
      <c r="Q76" s="12">
        <f t="shared" si="2"/>
        <v>0</v>
      </c>
      <c r="R76" s="13">
        <f>COUNTIF($Q$2:$Q$88,"&gt;"&amp;Q76)+COUNTIF($Q$2:Q76,Q76)</f>
        <v>86</v>
      </c>
    </row>
    <row r="77" spans="1:18" x14ac:dyDescent="0.2">
      <c r="A77" s="6">
        <v>108</v>
      </c>
      <c r="B77" s="6">
        <v>4</v>
      </c>
      <c r="C77" s="6">
        <v>427</v>
      </c>
      <c r="D77" s="6">
        <v>27</v>
      </c>
      <c r="E77" s="6">
        <v>5</v>
      </c>
      <c r="F77" s="7">
        <v>7.4319952127921501E-2</v>
      </c>
      <c r="G77" s="7">
        <v>0.11432027552711049</v>
      </c>
      <c r="H77" s="6">
        <v>320</v>
      </c>
      <c r="I77" s="6">
        <v>20</v>
      </c>
      <c r="J77" s="8">
        <v>0.60416666666666663</v>
      </c>
      <c r="K77" s="6">
        <v>20</v>
      </c>
      <c r="L77" s="6">
        <v>17</v>
      </c>
      <c r="M77" s="6">
        <v>427</v>
      </c>
      <c r="N77" s="6" t="b">
        <v>1</v>
      </c>
      <c r="O77" s="6">
        <v>7</v>
      </c>
      <c r="P77" s="6" t="s">
        <v>32</v>
      </c>
      <c r="Q77" s="9">
        <f t="shared" si="2"/>
        <v>11.749406331562115</v>
      </c>
      <c r="R77" s="10">
        <f>COUNTIF($Q$2:$Q$88,"&gt;"&amp;Q77)+COUNTIF($Q$2:Q77,Q77)</f>
        <v>60</v>
      </c>
    </row>
    <row r="78" spans="1:18" x14ac:dyDescent="0.2">
      <c r="A78" s="6">
        <v>109</v>
      </c>
      <c r="B78" s="6">
        <v>4</v>
      </c>
      <c r="C78" s="6">
        <v>812</v>
      </c>
      <c r="D78" s="6">
        <v>57</v>
      </c>
      <c r="E78" s="6">
        <v>10</v>
      </c>
      <c r="F78" s="7">
        <v>7.6957008701340604E-2</v>
      </c>
      <c r="G78" s="7">
        <v>0.12835558010114109</v>
      </c>
      <c r="H78" s="6">
        <v>683</v>
      </c>
      <c r="I78" s="6">
        <v>28</v>
      </c>
      <c r="J78" s="8">
        <v>0.58333333333333337</v>
      </c>
      <c r="K78" s="6">
        <v>38</v>
      </c>
      <c r="L78" s="6">
        <v>17</v>
      </c>
      <c r="M78" s="6">
        <v>812</v>
      </c>
      <c r="N78" s="6" t="b">
        <v>1</v>
      </c>
      <c r="O78" s="6">
        <v>19</v>
      </c>
      <c r="P78" s="6" t="s">
        <v>32</v>
      </c>
      <c r="Q78" s="9">
        <f t="shared" si="2"/>
        <v>31.545516498658809</v>
      </c>
      <c r="R78" s="10">
        <f>COUNTIF($Q$2:$Q$88,"&gt;"&amp;Q78)+COUNTIF($Q$2:Q78,Q78)</f>
        <v>41</v>
      </c>
    </row>
    <row r="79" spans="1:18" x14ac:dyDescent="0.2">
      <c r="A79" s="3">
        <v>111</v>
      </c>
      <c r="B79" s="3">
        <v>4</v>
      </c>
      <c r="C79" s="3">
        <v>427</v>
      </c>
      <c r="D79" s="3">
        <v>16</v>
      </c>
      <c r="E79" s="3">
        <v>0</v>
      </c>
      <c r="F79" s="4">
        <v>7.3522587305145201E-2</v>
      </c>
      <c r="G79" s="4">
        <v>0.1164254427925891</v>
      </c>
      <c r="H79" s="3">
        <v>328</v>
      </c>
      <c r="I79" s="3">
        <v>32</v>
      </c>
      <c r="J79" s="11">
        <v>0.64583333333333337</v>
      </c>
      <c r="K79" s="3">
        <v>20</v>
      </c>
      <c r="L79" s="3">
        <v>17</v>
      </c>
      <c r="M79" s="3">
        <v>427</v>
      </c>
      <c r="N79" s="3" t="b">
        <v>0</v>
      </c>
      <c r="O79" s="3">
        <v>0</v>
      </c>
      <c r="P79" s="3" t="s">
        <v>34</v>
      </c>
      <c r="Q79" s="12">
        <f t="shared" si="2"/>
        <v>0</v>
      </c>
      <c r="R79" s="13">
        <f>COUNTIF($Q$2:$Q$88,"&gt;"&amp;Q79)+COUNTIF($Q$2:Q79,Q79)</f>
        <v>87</v>
      </c>
    </row>
    <row r="80" spans="1:18" x14ac:dyDescent="0.2">
      <c r="A80" s="6">
        <v>112</v>
      </c>
      <c r="B80" s="6">
        <v>3</v>
      </c>
      <c r="C80" s="6">
        <v>399</v>
      </c>
      <c r="D80" s="6">
        <v>21</v>
      </c>
      <c r="E80" s="6">
        <v>2</v>
      </c>
      <c r="F80" s="7">
        <v>5.33332884747671E-2</v>
      </c>
      <c r="G80" s="7">
        <v>7.6508752765731394E-2</v>
      </c>
      <c r="H80" s="6">
        <v>295</v>
      </c>
      <c r="I80" s="6">
        <v>23</v>
      </c>
      <c r="J80" s="8">
        <v>0.45833333333333331</v>
      </c>
      <c r="K80" s="6">
        <v>19</v>
      </c>
      <c r="L80" s="6">
        <v>17</v>
      </c>
      <c r="M80" s="6">
        <v>399</v>
      </c>
      <c r="N80" s="6" t="b">
        <v>1</v>
      </c>
      <c r="O80" s="6">
        <v>2</v>
      </c>
      <c r="P80" s="6" t="s">
        <v>31</v>
      </c>
      <c r="Q80" s="9">
        <f t="shared" si="2"/>
        <v>3.0233332436162006</v>
      </c>
      <c r="R80" s="10">
        <f>COUNTIF($Q$2:$Q$88,"&gt;"&amp;Q80)+COUNTIF($Q$2:Q80,Q80)</f>
        <v>75</v>
      </c>
    </row>
    <row r="81" spans="1:18" x14ac:dyDescent="0.2">
      <c r="A81" s="6">
        <v>113</v>
      </c>
      <c r="B81" s="6">
        <v>6</v>
      </c>
      <c r="C81" s="6">
        <v>686</v>
      </c>
      <c r="D81" s="6">
        <v>98</v>
      </c>
      <c r="E81" s="6">
        <v>51</v>
      </c>
      <c r="F81" s="7">
        <v>0.19727765410164261</v>
      </c>
      <c r="G81" s="7">
        <v>0.27436576688151038</v>
      </c>
      <c r="H81" s="6">
        <v>572</v>
      </c>
      <c r="I81" s="6">
        <v>47</v>
      </c>
      <c r="J81" s="8">
        <v>0.97916666666666641</v>
      </c>
      <c r="K81" s="6">
        <v>32</v>
      </c>
      <c r="L81" s="6">
        <v>17</v>
      </c>
      <c r="M81" s="6">
        <v>686</v>
      </c>
      <c r="N81" s="6" t="b">
        <v>1</v>
      </c>
      <c r="O81" s="6">
        <v>66</v>
      </c>
      <c r="P81" s="6" t="s">
        <v>35</v>
      </c>
      <c r="Q81" s="9">
        <f t="shared" si="2"/>
        <v>143.64532517070839</v>
      </c>
      <c r="R81" s="10">
        <f>COUNTIF($Q$2:$Q$88,"&gt;"&amp;Q81)+COUNTIF($Q$2:Q81,Q81)</f>
        <v>17</v>
      </c>
    </row>
    <row r="82" spans="1:18" x14ac:dyDescent="0.2">
      <c r="A82" s="6">
        <v>114</v>
      </c>
      <c r="B82" s="6">
        <v>3</v>
      </c>
      <c r="C82" s="6">
        <v>791</v>
      </c>
      <c r="D82" s="6">
        <v>46</v>
      </c>
      <c r="E82" s="6">
        <v>10</v>
      </c>
      <c r="F82" s="7">
        <v>5.7586056855251602E-2</v>
      </c>
      <c r="G82" s="7">
        <v>9.1307466020136493E-2</v>
      </c>
      <c r="H82" s="6">
        <v>682</v>
      </c>
      <c r="I82" s="6">
        <v>47</v>
      </c>
      <c r="J82" s="8">
        <v>0.4583333333333332</v>
      </c>
      <c r="K82" s="6">
        <v>37</v>
      </c>
      <c r="L82" s="6">
        <v>17</v>
      </c>
      <c r="M82" s="6">
        <v>791</v>
      </c>
      <c r="N82" s="6" t="b">
        <v>1</v>
      </c>
      <c r="O82" s="6">
        <v>9</v>
      </c>
      <c r="P82" s="6" t="s">
        <v>31</v>
      </c>
      <c r="Q82" s="9">
        <f t="shared" si="2"/>
        <v>13.643274511697264</v>
      </c>
      <c r="R82" s="10">
        <f>COUNTIF($Q$2:$Q$88,"&gt;"&amp;Q82)+COUNTIF($Q$2:Q82,Q82)</f>
        <v>58</v>
      </c>
    </row>
    <row r="83" spans="1:18" x14ac:dyDescent="0.2">
      <c r="A83" s="6">
        <v>115</v>
      </c>
      <c r="B83" s="6">
        <v>5</v>
      </c>
      <c r="C83" s="6">
        <v>784</v>
      </c>
      <c r="D83" s="6">
        <v>82</v>
      </c>
      <c r="E83" s="6">
        <v>26</v>
      </c>
      <c r="F83" s="7">
        <v>0.13349500422413149</v>
      </c>
      <c r="G83" s="7">
        <v>0.19915814357358069</v>
      </c>
      <c r="H83" s="6">
        <v>662</v>
      </c>
      <c r="I83" s="6">
        <v>38</v>
      </c>
      <c r="J83" s="8">
        <v>0.79166666666666663</v>
      </c>
      <c r="K83" s="6">
        <v>0</v>
      </c>
      <c r="L83" s="6">
        <v>0</v>
      </c>
      <c r="M83" s="6">
        <v>784</v>
      </c>
      <c r="N83" s="6" t="b">
        <v>1</v>
      </c>
      <c r="O83" s="6">
        <v>82</v>
      </c>
      <c r="P83" s="6" t="s">
        <v>33</v>
      </c>
      <c r="Q83" s="9">
        <f t="shared" si="2"/>
        <v>157.86325701304546</v>
      </c>
      <c r="R83" s="10">
        <f>COUNTIF($Q$2:$Q$88,"&gt;"&amp;Q83)+COUNTIF($Q$2:Q83,Q83)</f>
        <v>15</v>
      </c>
    </row>
    <row r="84" spans="1:18" x14ac:dyDescent="0.2">
      <c r="A84" s="6">
        <v>116</v>
      </c>
      <c r="B84" s="6">
        <v>5</v>
      </c>
      <c r="C84" s="6">
        <v>623</v>
      </c>
      <c r="D84" s="6">
        <v>77</v>
      </c>
      <c r="E84" s="6">
        <v>15</v>
      </c>
      <c r="F84" s="7">
        <v>0.14932766580166121</v>
      </c>
      <c r="G84" s="7">
        <v>0.20801948286009861</v>
      </c>
      <c r="H84" s="6">
        <v>508</v>
      </c>
      <c r="I84" s="6">
        <v>46</v>
      </c>
      <c r="J84" s="8">
        <v>0.77083333333333337</v>
      </c>
      <c r="K84" s="6">
        <v>0</v>
      </c>
      <c r="L84" s="6">
        <v>0</v>
      </c>
      <c r="M84" s="6">
        <v>623</v>
      </c>
      <c r="N84" s="6" t="b">
        <v>1</v>
      </c>
      <c r="O84" s="6">
        <v>77</v>
      </c>
      <c r="P84" s="6" t="s">
        <v>33</v>
      </c>
      <c r="Q84" s="9">
        <f t="shared" si="2"/>
        <v>147.85239693339457</v>
      </c>
      <c r="R84" s="10">
        <f>COUNTIF($Q$2:$Q$88,"&gt;"&amp;Q84)+COUNTIF($Q$2:Q84,Q84)</f>
        <v>16</v>
      </c>
    </row>
    <row r="85" spans="1:18" x14ac:dyDescent="0.2">
      <c r="A85" s="6">
        <v>117</v>
      </c>
      <c r="B85" s="6">
        <v>3</v>
      </c>
      <c r="C85" s="6">
        <v>868</v>
      </c>
      <c r="D85" s="6">
        <v>51</v>
      </c>
      <c r="E85" s="6">
        <v>3</v>
      </c>
      <c r="F85" s="7">
        <v>5.8357427332067002E-2</v>
      </c>
      <c r="G85" s="7">
        <v>8.7986885709924995E-2</v>
      </c>
      <c r="H85" s="6">
        <v>750</v>
      </c>
      <c r="I85" s="6">
        <v>55</v>
      </c>
      <c r="J85" s="8">
        <v>0.4375</v>
      </c>
      <c r="K85" s="6">
        <v>40</v>
      </c>
      <c r="L85" s="6">
        <v>17</v>
      </c>
      <c r="M85" s="6">
        <v>868</v>
      </c>
      <c r="N85" s="6" t="b">
        <v>1</v>
      </c>
      <c r="O85" s="6">
        <v>11</v>
      </c>
      <c r="P85" s="6" t="s">
        <v>31</v>
      </c>
      <c r="Q85" s="9">
        <f t="shared" si="2"/>
        <v>16.454431700652737</v>
      </c>
      <c r="R85" s="10">
        <f>COUNTIF($Q$2:$Q$88,"&gt;"&amp;Q85)+COUNTIF($Q$2:Q85,Q85)</f>
        <v>54</v>
      </c>
    </row>
    <row r="86" spans="1:18" x14ac:dyDescent="0.2">
      <c r="A86" s="6">
        <v>118</v>
      </c>
      <c r="B86" s="6">
        <v>4</v>
      </c>
      <c r="C86" s="6">
        <v>707</v>
      </c>
      <c r="D86" s="6">
        <v>47</v>
      </c>
      <c r="E86" s="6">
        <v>8</v>
      </c>
      <c r="F86" s="7">
        <v>7.8192722067741902E-2</v>
      </c>
      <c r="G86" s="7">
        <v>0.12850607197967739</v>
      </c>
      <c r="H86" s="6">
        <v>595</v>
      </c>
      <c r="I86" s="6">
        <v>39</v>
      </c>
      <c r="J86" s="8">
        <v>0.60416666666666663</v>
      </c>
      <c r="K86" s="6">
        <v>33</v>
      </c>
      <c r="L86" s="6">
        <v>17</v>
      </c>
      <c r="M86" s="6">
        <v>707</v>
      </c>
      <c r="N86" s="6" t="b">
        <v>1</v>
      </c>
      <c r="O86" s="6">
        <v>14</v>
      </c>
      <c r="P86" s="6" t="s">
        <v>32</v>
      </c>
      <c r="Q86" s="9">
        <f t="shared" si="2"/>
        <v>23.553031442281721</v>
      </c>
      <c r="R86" s="10">
        <f>COUNTIF($Q$2:$Q$88,"&gt;"&amp;Q86)+COUNTIF($Q$2:Q86,Q86)</f>
        <v>45</v>
      </c>
    </row>
    <row r="87" spans="1:18" x14ac:dyDescent="0.2">
      <c r="A87" s="6">
        <v>119</v>
      </c>
      <c r="B87" s="6">
        <v>3</v>
      </c>
      <c r="C87" s="6">
        <v>952</v>
      </c>
      <c r="D87" s="6">
        <v>51</v>
      </c>
      <c r="E87" s="6">
        <v>10</v>
      </c>
      <c r="F87" s="7">
        <v>5.9783370725366401E-2</v>
      </c>
      <c r="G87" s="7">
        <v>9.3626794409620101E-2</v>
      </c>
      <c r="H87" s="6">
        <v>828</v>
      </c>
      <c r="I87" s="6">
        <v>49</v>
      </c>
      <c r="J87" s="8">
        <v>0.4375</v>
      </c>
      <c r="K87" s="6">
        <v>44</v>
      </c>
      <c r="L87" s="6">
        <v>17</v>
      </c>
      <c r="M87" s="6">
        <v>952</v>
      </c>
      <c r="N87" s="6" t="b">
        <v>1</v>
      </c>
      <c r="O87" s="6">
        <v>7</v>
      </c>
      <c r="P87" s="6" t="s">
        <v>31</v>
      </c>
      <c r="Q87" s="9">
        <f t="shared" si="2"/>
        <v>10.480983595077564</v>
      </c>
      <c r="R87" s="10">
        <f>COUNTIF($Q$2:$Q$88,"&gt;"&amp;Q87)+COUNTIF($Q$2:Q87,Q87)</f>
        <v>62</v>
      </c>
    </row>
    <row r="88" spans="1:18" x14ac:dyDescent="0.2">
      <c r="A88" s="6">
        <v>120</v>
      </c>
      <c r="B88" s="6">
        <v>5</v>
      </c>
      <c r="C88" s="6">
        <v>448</v>
      </c>
      <c r="D88" s="6">
        <v>45</v>
      </c>
      <c r="E88" s="6">
        <v>12</v>
      </c>
      <c r="F88" s="7">
        <v>0.14067813439798779</v>
      </c>
      <c r="G88" s="7">
        <v>0.20256524162101269</v>
      </c>
      <c r="H88" s="6">
        <v>337</v>
      </c>
      <c r="I88" s="6">
        <v>25</v>
      </c>
      <c r="J88" s="8">
        <v>0.79166666666666663</v>
      </c>
      <c r="K88" s="6">
        <v>0</v>
      </c>
      <c r="L88" s="6">
        <v>0</v>
      </c>
      <c r="M88" s="6">
        <v>448</v>
      </c>
      <c r="N88" s="6" t="b">
        <v>1</v>
      </c>
      <c r="O88" s="6">
        <v>45</v>
      </c>
      <c r="P88" s="6" t="s">
        <v>33</v>
      </c>
      <c r="Q88" s="9">
        <f t="shared" si="2"/>
        <v>86.955516047909441</v>
      </c>
      <c r="R88" s="10">
        <f>COUNTIF($Q$2:$Q$88,"&gt;"&amp;Q88)+COUNTIF($Q$2:Q88,Q88)</f>
        <v>27</v>
      </c>
    </row>
  </sheetData>
  <conditionalFormatting sqref="O2:O88">
    <cfRule type="colorScale" priority="1">
      <colorScale>
        <cfvo type="min"/>
        <cfvo type="percentile" val="50"/>
        <cfvo type="max"/>
        <color rgb="FFFFF5F5"/>
        <color rgb="FFFEE08B"/>
        <color rgb="FFD73027"/>
      </colorScale>
    </cfRule>
  </conditionalFormatting>
  <conditionalFormatting sqref="Q2:Q88">
    <cfRule type="colorScale" priority="2">
      <colorScale>
        <cfvo type="min"/>
        <cfvo type="percentile" val="50"/>
        <cfvo type="max"/>
        <color rgb="FFEDF8FB"/>
        <color rgb="FF66C2A4"/>
        <color rgb="FF006D2C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A1" s="14" t="s">
        <v>36</v>
      </c>
      <c r="B1" s="14" t="s">
        <v>37</v>
      </c>
      <c r="C1" s="14"/>
      <c r="D1" s="14"/>
      <c r="E1" s="14"/>
      <c r="F1" s="14"/>
      <c r="G1" s="14"/>
    </row>
    <row r="2" spans="1:7" x14ac:dyDescent="0.2">
      <c r="A2" t="s">
        <v>2</v>
      </c>
      <c r="B2">
        <f>COUNTA(Raw_Data!$A$2:$A$88)</f>
        <v>87</v>
      </c>
    </row>
    <row r="3" spans="1:7" x14ac:dyDescent="0.2">
      <c r="A3" t="s">
        <v>3</v>
      </c>
      <c r="B3">
        <f>COUNTIF(Raw_Data!$N$2:$N$88,1)</f>
        <v>0</v>
      </c>
    </row>
    <row r="4" spans="1:7" x14ac:dyDescent="0.2">
      <c r="A4" t="s">
        <v>4</v>
      </c>
      <c r="B4">
        <f>B2-B3</f>
        <v>87</v>
      </c>
    </row>
    <row r="5" spans="1:7" x14ac:dyDescent="0.2">
      <c r="A5" t="s">
        <v>38</v>
      </c>
      <c r="B5" s="15">
        <f>IFERROR(B3/B2,0)</f>
        <v>0</v>
      </c>
    </row>
    <row r="6" spans="1:7" x14ac:dyDescent="0.2">
      <c r="A6" t="s">
        <v>5</v>
      </c>
      <c r="B6">
        <f>SUM(Raw_Data!$O$2:$O$88)</f>
        <v>2917</v>
      </c>
    </row>
    <row r="7" spans="1:7" x14ac:dyDescent="0.2">
      <c r="A7" t="s">
        <v>39</v>
      </c>
      <c r="B7">
        <f>IFERROR(AVERAGEIF(Raw_Data!$N$2:$N$88,1,Raw_Data!$O$2:$O$88),0)</f>
        <v>0</v>
      </c>
    </row>
    <row r="8" spans="1:7" x14ac:dyDescent="0.2">
      <c r="A8" t="s">
        <v>7</v>
      </c>
      <c r="B8" s="15">
        <f>AVERAGE(Raw_Data!$F$2:$F$88)</f>
        <v>0.10007307350006499</v>
      </c>
    </row>
    <row r="9" spans="1:7" x14ac:dyDescent="0.2">
      <c r="A9" t="s">
        <v>40</v>
      </c>
      <c r="B9" s="16">
        <f>AVERAGE(Raw_Data!$J$2:$J$88)</f>
        <v>0.62092911877394641</v>
      </c>
    </row>
    <row r="10" spans="1:7" x14ac:dyDescent="0.2">
      <c r="A10" t="s">
        <v>41</v>
      </c>
      <c r="B10">
        <f>MAX(Raw_Data!$O$2:$O$88)</f>
        <v>129</v>
      </c>
    </row>
    <row r="13" spans="1:7" x14ac:dyDescent="0.2">
      <c r="A13" t="s">
        <v>16</v>
      </c>
      <c r="B13" t="s">
        <v>42</v>
      </c>
      <c r="C13" t="s">
        <v>5</v>
      </c>
      <c r="D13" t="s">
        <v>43</v>
      </c>
    </row>
    <row r="14" spans="1:7" x14ac:dyDescent="0.2">
      <c r="A14" t="s">
        <v>33</v>
      </c>
      <c r="B14">
        <f>COUNTIF(Raw_Data!$P$2:$P$88,A14)</f>
        <v>25</v>
      </c>
      <c r="C14">
        <f>SUMIF(Raw_Data!$P$2:$P$88,A14,Raw_Data!$O$2:$O$88)</f>
        <v>1869</v>
      </c>
      <c r="D14" t="s">
        <v>44</v>
      </c>
    </row>
    <row r="15" spans="1:7" x14ac:dyDescent="0.2">
      <c r="A15" t="s">
        <v>31</v>
      </c>
      <c r="B15">
        <f>COUNTIF(Raw_Data!$P$2:$P$88,A15)</f>
        <v>24</v>
      </c>
      <c r="C15">
        <f>SUMIF(Raw_Data!$P$2:$P$88,A15,Raw_Data!$O$2:$O$88)</f>
        <v>161</v>
      </c>
      <c r="D15" t="s">
        <v>45</v>
      </c>
    </row>
    <row r="16" spans="1:7" x14ac:dyDescent="0.2">
      <c r="A16" t="s">
        <v>32</v>
      </c>
      <c r="B16">
        <f>COUNTIF(Raw_Data!$P$2:$P$88,A16)</f>
        <v>22</v>
      </c>
      <c r="C16">
        <f>SUMIF(Raw_Data!$P$2:$P$88,A16,Raw_Data!$O$2:$O$88)</f>
        <v>322</v>
      </c>
      <c r="D16" t="s">
        <v>46</v>
      </c>
    </row>
    <row r="17" spans="1:7" x14ac:dyDescent="0.2">
      <c r="A17" t="s">
        <v>34</v>
      </c>
      <c r="B17">
        <f>COUNTIF(Raw_Data!$P$2:$P$88,A17)</f>
        <v>8</v>
      </c>
      <c r="C17">
        <f>SUMIF(Raw_Data!$P$2:$P$88,A17,Raw_Data!$O$2:$O$88)</f>
        <v>0</v>
      </c>
      <c r="D17" t="s">
        <v>34</v>
      </c>
    </row>
    <row r="18" spans="1:7" x14ac:dyDescent="0.2">
      <c r="A18" t="s">
        <v>35</v>
      </c>
      <c r="B18">
        <f>COUNTIF(Raw_Data!$P$2:$P$88,A18)</f>
        <v>8</v>
      </c>
      <c r="C18">
        <f>SUMIF(Raw_Data!$P$2:$P$88,A18,Raw_Data!$O$2:$O$88)</f>
        <v>565</v>
      </c>
      <c r="D18" t="s">
        <v>47</v>
      </c>
    </row>
    <row r="22" spans="1:7" x14ac:dyDescent="0.2">
      <c r="A22" t="s">
        <v>13</v>
      </c>
      <c r="B22" t="s">
        <v>42</v>
      </c>
      <c r="C22" t="s">
        <v>6</v>
      </c>
    </row>
    <row r="23" spans="1:7" x14ac:dyDescent="0.2">
      <c r="A23">
        <v>3</v>
      </c>
      <c r="B23">
        <f>COUNTIF(Raw_Data!$B$2:$B$88,A23)</f>
        <v>31</v>
      </c>
      <c r="C23">
        <f>IFERROR(AVERAGEIF(Raw_Data!$B$2:$B$88,A23,Raw_Data!$O$2:$O$88),0)</f>
        <v>5.193548387096774</v>
      </c>
    </row>
    <row r="24" spans="1:7" x14ac:dyDescent="0.2">
      <c r="A24">
        <v>4</v>
      </c>
      <c r="B24">
        <f>COUNTIF(Raw_Data!$B$2:$B$88,A24)</f>
        <v>23</v>
      </c>
      <c r="C24">
        <f>IFERROR(AVERAGEIF(Raw_Data!$B$2:$B$88,A24,Raw_Data!$O$2:$O$88),0)</f>
        <v>14</v>
      </c>
    </row>
    <row r="25" spans="1:7" x14ac:dyDescent="0.2">
      <c r="A25">
        <v>5</v>
      </c>
      <c r="B25">
        <f>COUNTIF(Raw_Data!$B$2:$B$88,A25)</f>
        <v>25</v>
      </c>
      <c r="C25">
        <f>IFERROR(AVERAGEIF(Raw_Data!$B$2:$B$88,A25,Raw_Data!$O$2:$O$88),0)</f>
        <v>74.760000000000005</v>
      </c>
    </row>
    <row r="26" spans="1:7" x14ac:dyDescent="0.2">
      <c r="A26">
        <v>6</v>
      </c>
      <c r="B26">
        <f>COUNTIF(Raw_Data!$B$2:$B$88,A26)</f>
        <v>8</v>
      </c>
      <c r="C26">
        <f>IFERROR(AVERAGEIF(Raw_Data!$B$2:$B$88,A26,Raw_Data!$O$2:$O$88),0)</f>
        <v>70.625</v>
      </c>
    </row>
    <row r="31" spans="1:7" x14ac:dyDescent="0.2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</row>
    <row r="32" spans="1:7" x14ac:dyDescent="0.2">
      <c r="A32">
        <v>1</v>
      </c>
      <c r="B32">
        <f>INDEX(Raw_Data!$A$2:$A$88,MATCH($A32,Raw_Data!$R$2:$R$88,0))</f>
        <v>80</v>
      </c>
      <c r="C32">
        <f>INDEX(Raw_Data!$B$2:$B$88,MATCH($A32,Raw_Data!$R$2:$R$88,0))</f>
        <v>5</v>
      </c>
      <c r="D32">
        <f>INDEX(Raw_Data!$O$2:$O$88,MATCH($A32,Raw_Data!$R$2:$R$88,0))</f>
        <v>129</v>
      </c>
      <c r="E32">
        <f>INDEX(Raw_Data!$F$2:$F$88,MATCH($A32,Raw_Data!$R$2:$R$88,0))</f>
        <v>0.1531725294142221</v>
      </c>
      <c r="F32" t="str">
        <f>INDEX(Raw_Data!$P$2:$P$88,MATCH($A32,Raw_Data!$R$2:$R$88,0))</f>
        <v>Upgrade Step Inpt 5 → Step Inpt 6</v>
      </c>
      <c r="G32">
        <f>INDEX(Raw_Data!$Q$2:$Q$88,MATCH($A32,Raw_Data!$R$2:$R$88,0))</f>
        <v>250.88425629443466</v>
      </c>
    </row>
    <row r="33" spans="1:7" x14ac:dyDescent="0.2">
      <c r="A33">
        <v>2</v>
      </c>
      <c r="B33">
        <f>INDEX(Raw_Data!$A$2:$A$88,MATCH($A33,Raw_Data!$R$2:$R$88,0))</f>
        <v>25</v>
      </c>
      <c r="C33">
        <f>INDEX(Raw_Data!$B$2:$B$88,MATCH($A33,Raw_Data!$R$2:$R$88,0))</f>
        <v>5</v>
      </c>
      <c r="D33">
        <f>INDEX(Raw_Data!$O$2:$O$88,MATCH($A33,Raw_Data!$R$2:$R$88,0))</f>
        <v>116</v>
      </c>
      <c r="E33">
        <f>INDEX(Raw_Data!$F$2:$F$88,MATCH($A33,Raw_Data!$R$2:$R$88,0))</f>
        <v>0.1531413557553398</v>
      </c>
      <c r="F33" t="str">
        <f>INDEX(Raw_Data!$P$2:$P$88,MATCH($A33,Raw_Data!$R$2:$R$88,0))</f>
        <v>Upgrade Step Inpt 5 → Step Inpt 6</v>
      </c>
      <c r="G33">
        <f>INDEX(Raw_Data!$Q$2:$Q$88,MATCH($A33,Raw_Data!$R$2:$R$88,0))</f>
        <v>230.43106393428607</v>
      </c>
    </row>
    <row r="34" spans="1:7" x14ac:dyDescent="0.2">
      <c r="A34">
        <v>3</v>
      </c>
      <c r="B34">
        <f>INDEX(Raw_Data!$A$2:$A$88,MATCH($A34,Raw_Data!$R$2:$R$88,0))</f>
        <v>22</v>
      </c>
      <c r="C34">
        <f>INDEX(Raw_Data!$B$2:$B$88,MATCH($A34,Raw_Data!$R$2:$R$88,0))</f>
        <v>5</v>
      </c>
      <c r="D34">
        <f>INDEX(Raw_Data!$O$2:$O$88,MATCH($A34,Raw_Data!$R$2:$R$88,0))</f>
        <v>116</v>
      </c>
      <c r="E34">
        <f>INDEX(Raw_Data!$F$2:$F$88,MATCH($A34,Raw_Data!$R$2:$R$88,0))</f>
        <v>0.15223186684144341</v>
      </c>
      <c r="F34" t="str">
        <f>INDEX(Raw_Data!$P$2:$P$88,MATCH($A34,Raw_Data!$R$2:$R$88,0))</f>
        <v>Upgrade Step Inpt 5 → Step Inpt 6</v>
      </c>
      <c r="G34">
        <f>INDEX(Raw_Data!$Q$2:$Q$88,MATCH($A34,Raw_Data!$R$2:$R$88,0))</f>
        <v>227.90889655360746</v>
      </c>
    </row>
    <row r="35" spans="1:7" x14ac:dyDescent="0.2">
      <c r="A35">
        <v>4</v>
      </c>
      <c r="B35">
        <f>INDEX(Raw_Data!$A$2:$A$88,MATCH($A35,Raw_Data!$R$2:$R$88,0))</f>
        <v>73</v>
      </c>
      <c r="C35">
        <f>INDEX(Raw_Data!$B$2:$B$88,MATCH($A35,Raw_Data!$R$2:$R$88,0))</f>
        <v>5</v>
      </c>
      <c r="D35">
        <f>INDEX(Raw_Data!$O$2:$O$88,MATCH($A35,Raw_Data!$R$2:$R$88,0))</f>
        <v>114</v>
      </c>
      <c r="E35">
        <f>INDEX(Raw_Data!$F$2:$F$88,MATCH($A35,Raw_Data!$R$2:$R$88,0))</f>
        <v>0.13796167668327131</v>
      </c>
      <c r="F35" t="str">
        <f>INDEX(Raw_Data!$P$2:$P$88,MATCH($A35,Raw_Data!$R$2:$R$88,0))</f>
        <v>Upgrade Step Inpt 5 → Step Inpt 6</v>
      </c>
      <c r="G35">
        <f>INDEX(Raw_Data!$Q$2:$Q$88,MATCH($A35,Raw_Data!$R$2:$R$88,0))</f>
        <v>222.35263114189294</v>
      </c>
    </row>
    <row r="36" spans="1:7" x14ac:dyDescent="0.2">
      <c r="A36">
        <v>5</v>
      </c>
      <c r="B36">
        <f>INDEX(Raw_Data!$A$2:$A$88,MATCH($A36,Raw_Data!$R$2:$R$88,0))</f>
        <v>44</v>
      </c>
      <c r="C36">
        <f>INDEX(Raw_Data!$B$2:$B$88,MATCH($A36,Raw_Data!$R$2:$R$88,0))</f>
        <v>5</v>
      </c>
      <c r="D36">
        <f>INDEX(Raw_Data!$O$2:$O$88,MATCH($A36,Raw_Data!$R$2:$R$88,0))</f>
        <v>106</v>
      </c>
      <c r="E36">
        <f>INDEX(Raw_Data!$F$2:$F$88,MATCH($A36,Raw_Data!$R$2:$R$88,0))</f>
        <v>0.1510121654510887</v>
      </c>
      <c r="F36" t="str">
        <f>INDEX(Raw_Data!$P$2:$P$88,MATCH($A36,Raw_Data!$R$2:$R$88,0))</f>
        <v>Upgrade Step Inpt 5 → Step Inpt 6</v>
      </c>
      <c r="G36">
        <f>INDEX(Raw_Data!$Q$2:$Q$88,MATCH($A36,Raw_Data!$R$2:$R$88,0))</f>
        <v>208.13228953781541</v>
      </c>
    </row>
    <row r="37" spans="1:7" x14ac:dyDescent="0.2">
      <c r="A37">
        <v>6</v>
      </c>
      <c r="B37">
        <f>INDEX(Raw_Data!$A$2:$A$88,MATCH($A37,Raw_Data!$R$2:$R$88,0))</f>
        <v>99</v>
      </c>
      <c r="C37">
        <f>INDEX(Raw_Data!$B$2:$B$88,MATCH($A37,Raw_Data!$R$2:$R$88,0))</f>
        <v>5</v>
      </c>
      <c r="D37">
        <f>INDEX(Raw_Data!$O$2:$O$88,MATCH($A37,Raw_Data!$R$2:$R$88,0))</f>
        <v>103</v>
      </c>
      <c r="E37">
        <f>INDEX(Raw_Data!$F$2:$F$88,MATCH($A37,Raw_Data!$R$2:$R$88,0))</f>
        <v>0.14900192904343279</v>
      </c>
      <c r="F37" t="str">
        <f>INDEX(Raw_Data!$P$2:$P$88,MATCH($A37,Raw_Data!$R$2:$R$88,0))</f>
        <v>Upgrade Step Inpt 5 → Step Inpt 6</v>
      </c>
      <c r="G37">
        <f>INDEX(Raw_Data!$Q$2:$Q$88,MATCH($A37,Raw_Data!$R$2:$R$88,0))</f>
        <v>195.59719869147358</v>
      </c>
    </row>
    <row r="38" spans="1:7" x14ac:dyDescent="0.2">
      <c r="A38">
        <v>7</v>
      </c>
      <c r="B38">
        <f>INDEX(Raw_Data!$A$2:$A$88,MATCH($A38,Raw_Data!$R$2:$R$88,0))</f>
        <v>50</v>
      </c>
      <c r="C38">
        <f>INDEX(Raw_Data!$B$2:$B$88,MATCH($A38,Raw_Data!$R$2:$R$88,0))</f>
        <v>6</v>
      </c>
      <c r="D38">
        <f>INDEX(Raw_Data!$O$2:$O$88,MATCH($A38,Raw_Data!$R$2:$R$88,0))</f>
        <v>94</v>
      </c>
      <c r="E38">
        <f>INDEX(Raw_Data!$F$2:$F$88,MATCH($A38,Raw_Data!$R$2:$R$88,0))</f>
        <v>0.19544211844432449</v>
      </c>
      <c r="F38" t="str">
        <f>INDEX(Raw_Data!$P$2:$P$88,MATCH($A38,Raw_Data!$R$2:$R$88,0))</f>
        <v>Highest step — escalate to clinical review</v>
      </c>
      <c r="G38">
        <f>INDEX(Raw_Data!$Q$2:$Q$88,MATCH($A38,Raw_Data!$R$2:$R$88,0))</f>
        <v>194.62155913376651</v>
      </c>
    </row>
    <row r="39" spans="1:7" x14ac:dyDescent="0.2">
      <c r="A39">
        <v>8</v>
      </c>
      <c r="B39">
        <f>INDEX(Raw_Data!$A$2:$A$88,MATCH($A39,Raw_Data!$R$2:$R$88,0))</f>
        <v>92</v>
      </c>
      <c r="C39">
        <f>INDEX(Raw_Data!$B$2:$B$88,MATCH($A39,Raw_Data!$R$2:$R$88,0))</f>
        <v>5</v>
      </c>
      <c r="D39">
        <f>INDEX(Raw_Data!$O$2:$O$88,MATCH($A39,Raw_Data!$R$2:$R$88,0))</f>
        <v>97</v>
      </c>
      <c r="E39">
        <f>INDEX(Raw_Data!$F$2:$F$88,MATCH($A39,Raw_Data!$R$2:$R$88,0))</f>
        <v>0.14791609785567089</v>
      </c>
      <c r="F39" t="str">
        <f>INDEX(Raw_Data!$P$2:$P$88,MATCH($A39,Raw_Data!$R$2:$R$88,0))</f>
        <v>Upgrade Step Inpt 5 → Step Inpt 6</v>
      </c>
      <c r="G39">
        <f>INDEX(Raw_Data!$Q$2:$Q$88,MATCH($A39,Raw_Data!$R$2:$R$88,0))</f>
        <v>188.13952815866674</v>
      </c>
    </row>
    <row r="40" spans="1:7" x14ac:dyDescent="0.2">
      <c r="A40">
        <v>9</v>
      </c>
      <c r="B40">
        <f>INDEX(Raw_Data!$A$2:$A$88,MATCH($A40,Raw_Data!$R$2:$R$88,0))</f>
        <v>37</v>
      </c>
      <c r="C40">
        <f>INDEX(Raw_Data!$B$2:$B$88,MATCH($A40,Raw_Data!$R$2:$R$88,0))</f>
        <v>5</v>
      </c>
      <c r="D40">
        <f>INDEX(Raw_Data!$O$2:$O$88,MATCH($A40,Raw_Data!$R$2:$R$88,0))</f>
        <v>98</v>
      </c>
      <c r="E40">
        <f>INDEX(Raw_Data!$F$2:$F$88,MATCH($A40,Raw_Data!$R$2:$R$88,0))</f>
        <v>0.149165504886692</v>
      </c>
      <c r="F40" t="str">
        <f>INDEX(Raw_Data!$P$2:$P$88,MATCH($A40,Raw_Data!$R$2:$R$88,0))</f>
        <v>Upgrade Step Inpt 5 → Step Inpt 6</v>
      </c>
      <c r="G40">
        <f>INDEX(Raw_Data!$Q$2:$Q$88,MATCH($A40,Raw_Data!$R$2:$R$88,0))</f>
        <v>182.0348861455625</v>
      </c>
    </row>
    <row r="41" spans="1:7" x14ac:dyDescent="0.2">
      <c r="A41">
        <v>10</v>
      </c>
      <c r="B41">
        <f>INDEX(Raw_Data!$A$2:$A$88,MATCH($A41,Raw_Data!$R$2:$R$88,0))</f>
        <v>55</v>
      </c>
      <c r="C41">
        <f>INDEX(Raw_Data!$B$2:$B$88,MATCH($A41,Raw_Data!$R$2:$R$88,0))</f>
        <v>6</v>
      </c>
      <c r="D41">
        <f>INDEX(Raw_Data!$O$2:$O$88,MATCH($A41,Raw_Data!$R$2:$R$88,0))</f>
        <v>82</v>
      </c>
      <c r="E41">
        <f>INDEX(Raw_Data!$F$2:$F$88,MATCH($A41,Raw_Data!$R$2:$R$88,0))</f>
        <v>0.19637427758514001</v>
      </c>
      <c r="F41" t="str">
        <f>INDEX(Raw_Data!$P$2:$P$88,MATCH($A41,Raw_Data!$R$2:$R$88,0))</f>
        <v>Highest step — escalate to clinical review</v>
      </c>
      <c r="G41">
        <f>INDEX(Raw_Data!$Q$2:$Q$88,MATCH($A41,Raw_Data!$R$2:$R$88,0))</f>
        <v>171.56102409531482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Raw_Data</vt:lpstr>
      <vt:lpstr>Summary_Data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 Betz</cp:lastModifiedBy>
  <dcterms:created xsi:type="dcterms:W3CDTF">2026-03-20T17:06:20Z</dcterms:created>
  <dcterms:modified xsi:type="dcterms:W3CDTF">2026-03-20T17:06:39Z</dcterms:modified>
</cp:coreProperties>
</file>