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https://d.docs.live.net/99720e0848ffa3a6/Documents/"/>
    </mc:Choice>
  </mc:AlternateContent>
  <xr:revisionPtr revIDLastSave="283" documentId="8_{069BBAE1-2716-4C48-A835-87B839C84936}" xr6:coauthVersionLast="47" xr6:coauthVersionMax="47" xr10:uidLastSave="{0055E6CC-1D42-1749-975A-17A120BD6B49}"/>
  <bookViews>
    <workbookView xWindow="0" yWindow="660" windowWidth="29400" windowHeight="18460" xr2:uid="{4F818E29-565E-43F3-B3DC-8FBD98E62777}"/>
  </bookViews>
  <sheets>
    <sheet name="algorithm" sheetId="1" r:id="rId1"/>
    <sheet name="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1" l="1"/>
  <c r="M16" i="1"/>
  <c r="M3" i="1"/>
  <c r="M4" i="1"/>
  <c r="M5" i="1"/>
  <c r="M6" i="1"/>
  <c r="M7" i="1"/>
  <c r="M8" i="1"/>
  <c r="M9" i="1"/>
  <c r="M10" i="1"/>
  <c r="M11" i="1"/>
  <c r="M12" i="1"/>
  <c r="M13" i="1"/>
  <c r="M14" i="1"/>
  <c r="M2" i="1"/>
</calcChain>
</file>

<file path=xl/sharedStrings.xml><?xml version="1.0" encoding="utf-8"?>
<sst xmlns="http://schemas.openxmlformats.org/spreadsheetml/2006/main" count="121" uniqueCount="78">
  <si>
    <t>category</t>
  </si>
  <si>
    <t>sub_category</t>
  </si>
  <si>
    <t>Abrupt_stop_risk_factor</t>
  </si>
  <si>
    <t>Recent_crisis_signal</t>
  </si>
  <si>
    <t>Protective_Engagement_Single</t>
  </si>
  <si>
    <t>Protective_Engagement_Multiple</t>
  </si>
  <si>
    <t>weight_factor_rising</t>
  </si>
  <si>
    <t>per_day_multiplier</t>
  </si>
  <si>
    <t>SSRI</t>
  </si>
  <si>
    <r>
      <t>Paroxetine</t>
    </r>
    <r>
      <rPr>
        <sz val="11"/>
        <color theme="1"/>
        <rFont val="Aptos Narrow"/>
        <family val="2"/>
        <scheme val="minor"/>
      </rPr>
      <t>, Fluvoxamine</t>
    </r>
  </si>
  <si>
    <r>
      <t>Sertraline</t>
    </r>
    <r>
      <rPr>
        <sz val="11"/>
        <color theme="1"/>
        <rFont val="Aptos Narrow"/>
        <family val="2"/>
        <scheme val="minor"/>
      </rPr>
      <t>, Citalopram, Escitalopram</t>
    </r>
  </si>
  <si>
    <t>Fluoxetine</t>
  </si>
  <si>
    <t>non-SSRI</t>
  </si>
  <si>
    <t>SNRI</t>
  </si>
  <si>
    <t>NDRI</t>
  </si>
  <si>
    <t>NaSSA</t>
  </si>
  <si>
    <t>SARI</t>
  </si>
  <si>
    <t>MAOI</t>
  </si>
  <si>
    <t>TCA</t>
  </si>
  <si>
    <t>Benzodiazepine</t>
  </si>
  <si>
    <t>alprazolam, lorazepam, oxazepam</t>
  </si>
  <si>
    <t>diazepam, clonazepam</t>
  </si>
  <si>
    <t>Antipsychotic</t>
  </si>
  <si>
    <t>Oral</t>
  </si>
  <si>
    <t>LAI_1_month</t>
  </si>
  <si>
    <t>LAI_3_months</t>
  </si>
  <si>
    <t>Mood stabilizer</t>
  </si>
  <si>
    <t>Modifiers</t>
  </si>
  <si>
    <t>withdrawal symptoms extra symptoms medication intervention</t>
  </si>
  <si>
    <t>two pathways - withdrawal and non withdrawal</t>
  </si>
  <si>
    <r>
      <t>Abrupt/rapid stop</t>
    </r>
    <r>
      <rPr>
        <sz val="11"/>
        <color theme="1"/>
        <rFont val="Aptos Narrow"/>
        <family val="2"/>
        <scheme val="minor"/>
      </rPr>
      <t xml:space="preserve"> (vs supervised gradual taper): × </t>
    </r>
    <r>
      <rPr>
        <b/>
        <sz val="11"/>
        <color theme="1"/>
        <rFont val="Aptos Narrow"/>
        <family val="2"/>
        <scheme val="minor"/>
      </rPr>
      <t>1.3</t>
    </r>
    <r>
      <rPr>
        <sz val="11"/>
        <color theme="1"/>
        <rFont val="Aptos Narrow"/>
        <family val="2"/>
        <scheme val="minor"/>
      </rPr>
      <t xml:space="preserve"> on whatever factor you’re using.</t>
    </r>
  </si>
  <si>
    <r>
      <t>Recent crisis signal</t>
    </r>
    <r>
      <rPr>
        <sz val="11"/>
        <color theme="1"/>
        <rFont val="Aptos Narrow"/>
        <family val="2"/>
        <scheme val="minor"/>
      </rPr>
      <t xml:space="preserve"> (e.g., prior ED in last 30d, multiple low_functioning flags, med nonadherence across ≥2 categories): × </t>
    </r>
    <r>
      <rPr>
        <b/>
        <sz val="11"/>
        <color theme="1"/>
        <rFont val="Aptos Narrow"/>
        <family val="2"/>
        <scheme val="minor"/>
      </rPr>
      <t>1.1–1.2</t>
    </r>
  </si>
  <si>
    <r>
      <t>Protective engagement</t>
    </r>
    <r>
      <rPr>
        <sz val="11"/>
        <color theme="1"/>
        <rFont val="Aptos Narrow"/>
        <family val="2"/>
        <scheme val="minor"/>
      </rPr>
      <t xml:space="preserve"> (kept visits, peer/case-mgmt contact this week): × </t>
    </r>
    <r>
      <rPr>
        <b/>
        <sz val="11"/>
        <color theme="1"/>
        <rFont val="Aptos Narrow"/>
        <family val="2"/>
        <scheme val="minor"/>
      </rPr>
      <t>0.9–0.95</t>
    </r>
  </si>
  <si>
    <t>How to apply</t>
  </si>
  <si>
    <t>You can multiply these factors into either:</t>
  </si>
  <si>
    <r>
      <t>Odds</t>
    </r>
    <r>
      <rPr>
        <sz val="11"/>
        <color theme="1"/>
        <rFont val="Aptos Narrow"/>
        <family val="2"/>
        <scheme val="minor"/>
      </rPr>
      <t xml:space="preserve">: </t>
    </r>
    <r>
      <rPr>
        <sz val="10"/>
        <color theme="1"/>
        <rFont val="Arial Unicode MS"/>
        <family val="2"/>
      </rPr>
      <t>odds' = odds × factor</t>
    </r>
    <r>
      <rPr>
        <sz val="11"/>
        <color theme="1"/>
        <rFont val="Aptos Narrow"/>
        <family val="2"/>
        <scheme val="minor"/>
      </rPr>
      <t xml:space="preserve"> (recommended for models that output probabilities)</t>
    </r>
  </si>
  <si>
    <r>
      <t>Your utilization index</t>
    </r>
    <r>
      <rPr>
        <sz val="11"/>
        <color theme="1"/>
        <rFont val="Aptos Narrow"/>
        <family val="2"/>
        <scheme val="minor"/>
      </rPr>
      <t xml:space="preserve">: </t>
    </r>
    <r>
      <rPr>
        <sz val="10"/>
        <color theme="1"/>
        <rFont val="Arial Unicode MS"/>
        <family val="2"/>
      </rPr>
      <t>util' = util × factor</t>
    </r>
  </si>
  <si>
    <r>
      <t>A risk score</t>
    </r>
    <r>
      <rPr>
        <sz val="11"/>
        <color theme="1"/>
        <rFont val="Aptos Narrow"/>
        <family val="2"/>
        <scheme val="minor"/>
      </rPr>
      <t xml:space="preserve">: add </t>
    </r>
    <r>
      <rPr>
        <sz val="10"/>
        <color theme="1"/>
        <rFont val="Arial Unicode MS"/>
        <family val="2"/>
      </rPr>
      <t>log(factor)</t>
    </r>
    <r>
      <rPr>
        <sz val="11"/>
        <color theme="1"/>
        <rFont val="Aptos Narrow"/>
        <family val="2"/>
        <scheme val="minor"/>
      </rPr>
      <t xml:space="preserve"> on the log-odds scale</t>
    </r>
  </si>
  <si>
    <t>Class ID</t>
  </si>
  <si>
    <t>Category</t>
  </si>
  <si>
    <t>Subcategory</t>
  </si>
  <si>
    <t>Example meds</t>
  </si>
  <si>
    <t>ER_Risk_Points</t>
  </si>
  <si>
    <t>Start_day</t>
  </si>
  <si>
    <t>Peak_day</t>
  </si>
  <si>
    <t>End_day</t>
  </si>
  <si>
    <t>SSRI_PAROX_FLUVOX</t>
  </si>
  <si>
    <t>Paroxetine, Fluvoxamine</t>
  </si>
  <si>
    <t>paroxetine, fluvoxamine</t>
  </si>
  <si>
    <t>SSRI_SERTRALINE_CIT_ESC</t>
  </si>
  <si>
    <t>Sertraline/Citalopram/Escitalopram</t>
  </si>
  <si>
    <t>sertraline, citalopram, escit</t>
  </si>
  <si>
    <t>SSRI_FLUOXETINE</t>
  </si>
  <si>
    <t>fluoxetine</t>
  </si>
  <si>
    <t>venlafaxine, duloxetine, etc.</t>
  </si>
  <si>
    <t>bupropion</t>
  </si>
  <si>
    <t>mirtazapine</t>
  </si>
  <si>
    <t>trazodone</t>
  </si>
  <si>
    <t>phenelzine, tranylcypromine, etc.</t>
  </si>
  <si>
    <t>amitriptyline, nortriptyline, etc.</t>
  </si>
  <si>
    <t>BENZO_SHORT</t>
  </si>
  <si>
    <t>BENZO_LONG</t>
  </si>
  <si>
    <t>AP_ORAL</t>
  </si>
  <si>
    <t>risperidone, olanzapine, etc.</t>
  </si>
  <si>
    <t>AP_LAI_1M</t>
  </si>
  <si>
    <t>LAI 1 month</t>
  </si>
  <si>
    <t>risperidone/paliperidone 1-mo LAI</t>
  </si>
  <si>
    <t>AP_LAI_3M</t>
  </si>
  <si>
    <t>LAI 3 months</t>
  </si>
  <si>
    <t>paliperidone 3-mo, etc.</t>
  </si>
  <si>
    <t>MOOD_STABILIZER</t>
  </si>
  <si>
    <t>—</t>
  </si>
  <si>
    <t>lithium, valproate, etc.</t>
  </si>
  <si>
    <t>risk_for_ED_admission_rising_from_start_day_after_stopping</t>
  </si>
  <si>
    <t>risk_for_ED_admission_highest_on_peak_day_after_stopping</t>
  </si>
  <si>
    <t>weight_factor_highest_on_peak_day</t>
  </si>
  <si>
    <t>weight_factor_lowest_on_ebb_day</t>
  </si>
  <si>
    <t>risk_for_ED_admission_ebbing_to_lowest_ebb_day_after_stopping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</si>
</sst>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42349-2B16-4083-8D2C-DDF653C3B4A5}">
  <dimension ref="A1:M35"/>
  <sheetViews>
    <sheetView tabSelected="1" workbookViewId="0">
      <selection activeCell="M1" sqref="M1"/>
    </sheetView>
  </sheetViews>
  <sheetFormatPr baseColWidth="10" defaultColWidth="8.83203125" defaultRowHeight="15" x14ac:dyDescent="0.2"/>
  <cols>
    <col min="1" max="1" width="14.6640625" customWidth="1"/>
    <col min="2" max="2" width="19.6640625" customWidth="1"/>
    <col min="3" max="3" width="12.33203125" customWidth="1"/>
    <col min="4" max="4" width="12.1640625" customWidth="1"/>
    <col min="5" max="5" width="13.5" customWidth="1"/>
    <col min="6" max="6" width="15.6640625" customWidth="1"/>
    <col min="7" max="7" width="16.5" customWidth="1"/>
    <col min="8" max="8" width="13.33203125" customWidth="1"/>
    <col min="9" max="9" width="19.33203125" customWidth="1"/>
    <col min="10" max="10" width="11.6640625" customWidth="1"/>
    <col min="11" max="11" width="15.83203125" customWidth="1"/>
    <col min="12" max="12" width="12.1640625" customWidth="1"/>
  </cols>
  <sheetData>
    <row r="1" spans="1:13" s="4" customFormat="1" ht="64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73</v>
      </c>
      <c r="H1" s="4" t="s">
        <v>6</v>
      </c>
      <c r="I1" s="4" t="s">
        <v>74</v>
      </c>
      <c r="J1" s="4" t="s">
        <v>75</v>
      </c>
      <c r="K1" s="4" t="s">
        <v>77</v>
      </c>
      <c r="L1" s="4" t="s">
        <v>76</v>
      </c>
      <c r="M1" s="4" t="s">
        <v>7</v>
      </c>
    </row>
    <row r="2" spans="1:13" s="4" customFormat="1" x14ac:dyDescent="0.2">
      <c r="A2" t="s">
        <v>8</v>
      </c>
      <c r="B2" t="s">
        <v>9</v>
      </c>
      <c r="C2">
        <v>1.3</v>
      </c>
      <c r="D2">
        <v>1.1499999999999999</v>
      </c>
      <c r="E2">
        <v>0.95</v>
      </c>
      <c r="F2">
        <v>0.9</v>
      </c>
      <c r="G2" s="4">
        <v>3</v>
      </c>
      <c r="H2" s="4">
        <v>1</v>
      </c>
      <c r="I2" s="4">
        <v>5</v>
      </c>
      <c r="J2" s="4">
        <v>1.9</v>
      </c>
      <c r="K2" s="4">
        <v>10</v>
      </c>
      <c r="L2" s="4">
        <v>1</v>
      </c>
      <c r="M2" s="4">
        <f>(K2-G2)/(I2-G2)</f>
        <v>3.5</v>
      </c>
    </row>
    <row r="3" spans="1:13" s="4" customFormat="1" x14ac:dyDescent="0.2">
      <c r="A3" t="s">
        <v>8</v>
      </c>
      <c r="B3" t="s">
        <v>10</v>
      </c>
      <c r="C3">
        <v>1.3</v>
      </c>
      <c r="D3">
        <v>1.1499999999999999</v>
      </c>
      <c r="E3">
        <v>0.95</v>
      </c>
      <c r="F3">
        <v>0.9</v>
      </c>
      <c r="G3" s="4">
        <v>3</v>
      </c>
      <c r="H3" s="4">
        <v>1</v>
      </c>
      <c r="I3" s="4">
        <v>5</v>
      </c>
      <c r="J3" s="4">
        <v>1.6</v>
      </c>
      <c r="K3" s="4">
        <v>10</v>
      </c>
      <c r="L3" s="4">
        <v>1</v>
      </c>
      <c r="M3" s="4">
        <f t="shared" ref="M3:M16" si="0">(K3-G3)/(I3-G3)</f>
        <v>3.5</v>
      </c>
    </row>
    <row r="4" spans="1:13" x14ac:dyDescent="0.2">
      <c r="A4" t="s">
        <v>8</v>
      </c>
      <c r="B4" t="s">
        <v>11</v>
      </c>
      <c r="C4">
        <v>1.3</v>
      </c>
      <c r="D4">
        <v>1.1499999999999999</v>
      </c>
      <c r="E4">
        <v>0.95</v>
      </c>
      <c r="F4">
        <v>0.9</v>
      </c>
      <c r="G4">
        <v>7</v>
      </c>
      <c r="H4">
        <v>1</v>
      </c>
      <c r="I4">
        <v>12</v>
      </c>
      <c r="J4">
        <v>1.35</v>
      </c>
      <c r="K4">
        <v>14</v>
      </c>
      <c r="L4">
        <v>1</v>
      </c>
      <c r="M4" s="4">
        <f t="shared" si="0"/>
        <v>1.4</v>
      </c>
    </row>
    <row r="5" spans="1:13" x14ac:dyDescent="0.2">
      <c r="A5" t="s">
        <v>12</v>
      </c>
      <c r="B5" t="s">
        <v>13</v>
      </c>
      <c r="C5">
        <v>1.3</v>
      </c>
      <c r="D5">
        <v>1.1499999999999999</v>
      </c>
      <c r="E5">
        <v>0.95</v>
      </c>
      <c r="F5">
        <v>0.9</v>
      </c>
      <c r="G5">
        <v>2</v>
      </c>
      <c r="H5">
        <v>1</v>
      </c>
      <c r="I5">
        <v>5</v>
      </c>
      <c r="J5">
        <v>1.55</v>
      </c>
      <c r="K5">
        <v>21</v>
      </c>
      <c r="L5">
        <v>1</v>
      </c>
      <c r="M5" s="4">
        <f t="shared" si="0"/>
        <v>6.333333333333333</v>
      </c>
    </row>
    <row r="6" spans="1:13" x14ac:dyDescent="0.2">
      <c r="A6" t="s">
        <v>12</v>
      </c>
      <c r="B6" t="s">
        <v>14</v>
      </c>
      <c r="C6">
        <v>1.3</v>
      </c>
      <c r="D6">
        <v>1.1499999999999999</v>
      </c>
      <c r="E6">
        <v>0.95</v>
      </c>
      <c r="F6">
        <v>0.9</v>
      </c>
      <c r="G6">
        <v>5</v>
      </c>
      <c r="H6">
        <v>1</v>
      </c>
      <c r="I6">
        <v>10</v>
      </c>
      <c r="J6">
        <v>1.55</v>
      </c>
      <c r="K6">
        <v>14</v>
      </c>
      <c r="L6">
        <v>1</v>
      </c>
      <c r="M6" s="4">
        <f t="shared" si="0"/>
        <v>1.8</v>
      </c>
    </row>
    <row r="7" spans="1:13" x14ac:dyDescent="0.2">
      <c r="A7" t="s">
        <v>12</v>
      </c>
      <c r="B7" t="s">
        <v>15</v>
      </c>
      <c r="C7">
        <v>1.3</v>
      </c>
      <c r="D7">
        <v>1.1499999999999999</v>
      </c>
      <c r="E7">
        <v>0.95</v>
      </c>
      <c r="F7">
        <v>0.9</v>
      </c>
      <c r="G7">
        <v>3</v>
      </c>
      <c r="H7">
        <v>1</v>
      </c>
      <c r="I7">
        <v>5</v>
      </c>
      <c r="J7">
        <v>1.55</v>
      </c>
      <c r="K7">
        <v>12</v>
      </c>
      <c r="L7">
        <v>1</v>
      </c>
      <c r="M7" s="4">
        <f t="shared" si="0"/>
        <v>4.5</v>
      </c>
    </row>
    <row r="8" spans="1:13" x14ac:dyDescent="0.2">
      <c r="A8" t="s">
        <v>12</v>
      </c>
      <c r="B8" t="s">
        <v>16</v>
      </c>
      <c r="C8">
        <v>1.3</v>
      </c>
      <c r="D8">
        <v>1.1499999999999999</v>
      </c>
      <c r="E8">
        <v>0.95</v>
      </c>
      <c r="F8">
        <v>0.9</v>
      </c>
      <c r="G8">
        <v>2</v>
      </c>
      <c r="H8">
        <v>1</v>
      </c>
      <c r="I8">
        <v>5</v>
      </c>
      <c r="J8">
        <v>1.55</v>
      </c>
      <c r="K8">
        <v>10</v>
      </c>
      <c r="L8">
        <v>1</v>
      </c>
      <c r="M8" s="4">
        <f t="shared" si="0"/>
        <v>2.6666666666666665</v>
      </c>
    </row>
    <row r="9" spans="1:13" x14ac:dyDescent="0.2">
      <c r="A9" t="s">
        <v>12</v>
      </c>
      <c r="B9" t="s">
        <v>17</v>
      </c>
      <c r="C9">
        <v>1.3</v>
      </c>
      <c r="D9">
        <v>1.1499999999999999</v>
      </c>
      <c r="E9">
        <v>0.95</v>
      </c>
      <c r="F9">
        <v>0.9</v>
      </c>
      <c r="G9">
        <v>5</v>
      </c>
      <c r="H9">
        <v>1</v>
      </c>
      <c r="I9">
        <v>10</v>
      </c>
      <c r="J9">
        <v>1.55</v>
      </c>
      <c r="K9">
        <v>40</v>
      </c>
      <c r="L9">
        <v>1</v>
      </c>
      <c r="M9" s="4">
        <f t="shared" si="0"/>
        <v>7</v>
      </c>
    </row>
    <row r="10" spans="1:13" x14ac:dyDescent="0.2">
      <c r="A10" t="s">
        <v>18</v>
      </c>
      <c r="B10" t="s">
        <v>18</v>
      </c>
      <c r="C10">
        <v>1.3</v>
      </c>
      <c r="D10">
        <v>1.1499999999999999</v>
      </c>
      <c r="E10">
        <v>0.95</v>
      </c>
      <c r="F10">
        <v>0.9</v>
      </c>
      <c r="G10">
        <v>3</v>
      </c>
      <c r="H10">
        <v>1</v>
      </c>
      <c r="I10">
        <v>5</v>
      </c>
      <c r="J10">
        <v>2</v>
      </c>
      <c r="K10">
        <v>14</v>
      </c>
      <c r="L10">
        <v>1.3</v>
      </c>
      <c r="M10" s="4">
        <f t="shared" si="0"/>
        <v>5.5</v>
      </c>
    </row>
    <row r="11" spans="1:13" ht="32" x14ac:dyDescent="0.2">
      <c r="A11" t="s">
        <v>19</v>
      </c>
      <c r="B11" s="4" t="s">
        <v>20</v>
      </c>
      <c r="C11">
        <v>1.3</v>
      </c>
      <c r="D11">
        <v>1.1499999999999999</v>
      </c>
      <c r="E11">
        <v>0.95</v>
      </c>
      <c r="F11">
        <v>0.9</v>
      </c>
      <c r="G11">
        <v>1</v>
      </c>
      <c r="H11">
        <v>1</v>
      </c>
      <c r="I11">
        <v>7</v>
      </c>
      <c r="J11">
        <v>2</v>
      </c>
      <c r="K11">
        <v>28</v>
      </c>
      <c r="L11">
        <v>1.7250000000000001</v>
      </c>
      <c r="M11" s="4">
        <f t="shared" si="0"/>
        <v>4.5</v>
      </c>
    </row>
    <row r="12" spans="1:13" ht="16" x14ac:dyDescent="0.2">
      <c r="A12" t="s">
        <v>19</v>
      </c>
      <c r="B12" s="4" t="s">
        <v>21</v>
      </c>
      <c r="C12">
        <v>1.3</v>
      </c>
      <c r="D12">
        <v>1.1499999999999999</v>
      </c>
      <c r="E12">
        <v>0.95</v>
      </c>
      <c r="F12">
        <v>0.9</v>
      </c>
      <c r="G12">
        <v>3</v>
      </c>
      <c r="H12">
        <v>1</v>
      </c>
      <c r="I12">
        <v>10</v>
      </c>
      <c r="J12">
        <v>1.8</v>
      </c>
      <c r="K12">
        <v>50</v>
      </c>
      <c r="L12">
        <v>1</v>
      </c>
      <c r="M12" s="4">
        <f t="shared" si="0"/>
        <v>6.7142857142857144</v>
      </c>
    </row>
    <row r="13" spans="1:13" x14ac:dyDescent="0.2">
      <c r="A13" t="s">
        <v>22</v>
      </c>
      <c r="B13" t="s">
        <v>23</v>
      </c>
      <c r="C13">
        <v>1.3</v>
      </c>
      <c r="D13">
        <v>1.1499999999999999</v>
      </c>
      <c r="E13">
        <v>0.95</v>
      </c>
      <c r="F13">
        <v>0.9</v>
      </c>
      <c r="G13">
        <v>7</v>
      </c>
      <c r="H13">
        <v>1</v>
      </c>
      <c r="I13">
        <v>30</v>
      </c>
      <c r="J13">
        <v>1.7</v>
      </c>
      <c r="K13">
        <v>60</v>
      </c>
      <c r="L13">
        <v>1</v>
      </c>
      <c r="M13" s="4">
        <f t="shared" si="0"/>
        <v>2.3043478260869565</v>
      </c>
    </row>
    <row r="14" spans="1:13" x14ac:dyDescent="0.2">
      <c r="A14" t="s">
        <v>22</v>
      </c>
      <c r="B14" t="s">
        <v>24</v>
      </c>
      <c r="C14">
        <v>1.3</v>
      </c>
      <c r="D14">
        <v>1.1499999999999999</v>
      </c>
      <c r="E14">
        <v>0.95</v>
      </c>
      <c r="F14">
        <v>0.9</v>
      </c>
      <c r="G14">
        <v>30</v>
      </c>
      <c r="H14">
        <v>1</v>
      </c>
      <c r="I14">
        <v>90</v>
      </c>
      <c r="J14">
        <v>1.5</v>
      </c>
      <c r="K14">
        <v>180</v>
      </c>
      <c r="L14">
        <v>1</v>
      </c>
      <c r="M14" s="4">
        <f t="shared" si="0"/>
        <v>2.5</v>
      </c>
    </row>
    <row r="15" spans="1:13" x14ac:dyDescent="0.2">
      <c r="A15" t="s">
        <v>22</v>
      </c>
      <c r="B15" t="s">
        <v>25</v>
      </c>
      <c r="C15">
        <v>1.3</v>
      </c>
      <c r="D15">
        <v>1.1499999999999999</v>
      </c>
      <c r="E15">
        <v>0.95</v>
      </c>
      <c r="F15">
        <v>0.9</v>
      </c>
      <c r="G15">
        <v>60</v>
      </c>
      <c r="H15">
        <v>1</v>
      </c>
      <c r="I15">
        <v>180</v>
      </c>
      <c r="J15">
        <v>1.4</v>
      </c>
      <c r="K15">
        <v>420</v>
      </c>
      <c r="L15">
        <v>1</v>
      </c>
      <c r="M15" s="4">
        <f t="shared" si="0"/>
        <v>3</v>
      </c>
    </row>
    <row r="16" spans="1:13" x14ac:dyDescent="0.2">
      <c r="A16" t="s">
        <v>26</v>
      </c>
      <c r="C16">
        <v>1.3</v>
      </c>
      <c r="D16">
        <v>1.1499999999999999</v>
      </c>
      <c r="E16">
        <v>0.95</v>
      </c>
      <c r="F16">
        <v>0.95</v>
      </c>
      <c r="G16">
        <v>7</v>
      </c>
      <c r="H16">
        <v>1</v>
      </c>
      <c r="I16">
        <v>14</v>
      </c>
      <c r="J16">
        <v>1.6</v>
      </c>
      <c r="K16">
        <v>70</v>
      </c>
      <c r="L16">
        <v>1</v>
      </c>
      <c r="M16" s="4">
        <f t="shared" si="0"/>
        <v>9</v>
      </c>
    </row>
    <row r="19" spans="1:3" ht="24" x14ac:dyDescent="0.2">
      <c r="A19" s="1" t="s">
        <v>27</v>
      </c>
      <c r="C19" t="s">
        <v>28</v>
      </c>
    </row>
    <row r="20" spans="1:3" x14ac:dyDescent="0.2">
      <c r="A20" s="2"/>
      <c r="C20" t="s">
        <v>29</v>
      </c>
    </row>
    <row r="21" spans="1:3" x14ac:dyDescent="0.2">
      <c r="A21" s="3" t="s">
        <v>30</v>
      </c>
    </row>
    <row r="22" spans="1:3" x14ac:dyDescent="0.2">
      <c r="A22" s="2"/>
    </row>
    <row r="23" spans="1:3" x14ac:dyDescent="0.2">
      <c r="A23" s="3" t="s">
        <v>31</v>
      </c>
    </row>
    <row r="24" spans="1:3" x14ac:dyDescent="0.2">
      <c r="A24" s="2"/>
    </row>
    <row r="25" spans="1:3" x14ac:dyDescent="0.2">
      <c r="A25" s="3" t="s">
        <v>32</v>
      </c>
    </row>
    <row r="27" spans="1:3" ht="24" x14ac:dyDescent="0.2">
      <c r="A27" s="1" t="s">
        <v>33</v>
      </c>
    </row>
    <row r="29" spans="1:3" x14ac:dyDescent="0.2">
      <c r="A29" t="s">
        <v>34</v>
      </c>
    </row>
    <row r="30" spans="1:3" x14ac:dyDescent="0.2">
      <c r="A30" s="2"/>
    </row>
    <row r="31" spans="1:3" ht="16" x14ac:dyDescent="0.2">
      <c r="A31" s="3" t="s">
        <v>35</v>
      </c>
    </row>
    <row r="32" spans="1:3" x14ac:dyDescent="0.2">
      <c r="A32" s="2"/>
    </row>
    <row r="33" spans="1:1" ht="16" x14ac:dyDescent="0.2">
      <c r="A33" s="3" t="s">
        <v>36</v>
      </c>
    </row>
    <row r="34" spans="1:1" x14ac:dyDescent="0.2">
      <c r="A34" s="2"/>
    </row>
    <row r="35" spans="1:1" ht="16" x14ac:dyDescent="0.2">
      <c r="A35" s="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956FA-2BFC-3249-ADF7-9CC16179E254}">
  <dimension ref="A1:H16"/>
  <sheetViews>
    <sheetView workbookViewId="0">
      <selection sqref="A1:H16"/>
    </sheetView>
  </sheetViews>
  <sheetFormatPr baseColWidth="10" defaultRowHeight="15" x14ac:dyDescent="0.2"/>
  <sheetData>
    <row r="1" spans="1:8" x14ac:dyDescent="0.2">
      <c r="A1" s="5" t="s">
        <v>38</v>
      </c>
      <c r="B1" s="5" t="s">
        <v>39</v>
      </c>
      <c r="C1" s="5" t="s">
        <v>40</v>
      </c>
      <c r="D1" s="5" t="s">
        <v>41</v>
      </c>
      <c r="E1" s="5" t="s">
        <v>42</v>
      </c>
      <c r="F1" s="5" t="s">
        <v>43</v>
      </c>
      <c r="G1" s="5" t="s">
        <v>44</v>
      </c>
      <c r="H1" s="5" t="s">
        <v>45</v>
      </c>
    </row>
    <row r="2" spans="1:8" x14ac:dyDescent="0.2">
      <c r="A2" t="s">
        <v>46</v>
      </c>
      <c r="B2" t="s">
        <v>8</v>
      </c>
      <c r="C2" t="s">
        <v>47</v>
      </c>
      <c r="D2" t="s">
        <v>48</v>
      </c>
      <c r="E2">
        <v>5</v>
      </c>
      <c r="F2">
        <v>3</v>
      </c>
      <c r="G2">
        <v>5</v>
      </c>
      <c r="H2">
        <v>10</v>
      </c>
    </row>
    <row r="3" spans="1:8" x14ac:dyDescent="0.2">
      <c r="A3" t="s">
        <v>49</v>
      </c>
      <c r="B3" t="s">
        <v>8</v>
      </c>
      <c r="C3" t="s">
        <v>50</v>
      </c>
      <c r="D3" t="s">
        <v>51</v>
      </c>
      <c r="E3">
        <v>3</v>
      </c>
      <c r="F3">
        <v>3</v>
      </c>
      <c r="G3">
        <v>5</v>
      </c>
      <c r="H3">
        <v>10</v>
      </c>
    </row>
    <row r="4" spans="1:8" x14ac:dyDescent="0.2">
      <c r="A4" t="s">
        <v>52</v>
      </c>
      <c r="B4" t="s">
        <v>8</v>
      </c>
      <c r="C4" t="s">
        <v>11</v>
      </c>
      <c r="D4" t="s">
        <v>53</v>
      </c>
      <c r="E4">
        <v>1</v>
      </c>
      <c r="F4">
        <v>7</v>
      </c>
      <c r="G4">
        <v>12</v>
      </c>
      <c r="H4">
        <v>14</v>
      </c>
    </row>
    <row r="5" spans="1:8" x14ac:dyDescent="0.2">
      <c r="A5" t="s">
        <v>13</v>
      </c>
      <c r="B5" t="s">
        <v>12</v>
      </c>
      <c r="C5" t="s">
        <v>13</v>
      </c>
      <c r="D5" t="s">
        <v>54</v>
      </c>
      <c r="E5">
        <v>3</v>
      </c>
      <c r="F5">
        <v>2</v>
      </c>
      <c r="G5">
        <v>5</v>
      </c>
      <c r="H5">
        <v>21</v>
      </c>
    </row>
    <row r="6" spans="1:8" x14ac:dyDescent="0.2">
      <c r="A6" t="s">
        <v>14</v>
      </c>
      <c r="B6" t="s">
        <v>12</v>
      </c>
      <c r="C6" t="s">
        <v>14</v>
      </c>
      <c r="D6" t="s">
        <v>55</v>
      </c>
      <c r="E6">
        <v>3</v>
      </c>
      <c r="F6">
        <v>5</v>
      </c>
      <c r="G6">
        <v>10</v>
      </c>
      <c r="H6">
        <v>14</v>
      </c>
    </row>
    <row r="7" spans="1:8" x14ac:dyDescent="0.2">
      <c r="A7" t="s">
        <v>15</v>
      </c>
      <c r="B7" t="s">
        <v>12</v>
      </c>
      <c r="C7" t="s">
        <v>15</v>
      </c>
      <c r="D7" t="s">
        <v>56</v>
      </c>
      <c r="E7">
        <v>3</v>
      </c>
      <c r="F7">
        <v>3</v>
      </c>
      <c r="G7">
        <v>5</v>
      </c>
      <c r="H7">
        <v>12</v>
      </c>
    </row>
    <row r="8" spans="1:8" x14ac:dyDescent="0.2">
      <c r="A8" t="s">
        <v>16</v>
      </c>
      <c r="B8" t="s">
        <v>12</v>
      </c>
      <c r="C8" t="s">
        <v>16</v>
      </c>
      <c r="D8" t="s">
        <v>57</v>
      </c>
      <c r="E8">
        <v>3</v>
      </c>
      <c r="F8">
        <v>2</v>
      </c>
      <c r="G8">
        <v>5</v>
      </c>
      <c r="H8">
        <v>10</v>
      </c>
    </row>
    <row r="9" spans="1:8" x14ac:dyDescent="0.2">
      <c r="A9" t="s">
        <v>17</v>
      </c>
      <c r="B9" t="s">
        <v>12</v>
      </c>
      <c r="C9" t="s">
        <v>17</v>
      </c>
      <c r="D9" t="s">
        <v>58</v>
      </c>
      <c r="E9">
        <v>3</v>
      </c>
      <c r="F9">
        <v>5</v>
      </c>
      <c r="G9">
        <v>10</v>
      </c>
      <c r="H9">
        <v>40</v>
      </c>
    </row>
    <row r="10" spans="1:8" x14ac:dyDescent="0.2">
      <c r="A10" t="s">
        <v>18</v>
      </c>
      <c r="B10" t="s">
        <v>18</v>
      </c>
      <c r="C10" t="s">
        <v>18</v>
      </c>
      <c r="D10" t="s">
        <v>59</v>
      </c>
      <c r="E10">
        <v>5</v>
      </c>
      <c r="F10">
        <v>3</v>
      </c>
      <c r="G10">
        <v>5</v>
      </c>
      <c r="H10">
        <v>14</v>
      </c>
    </row>
    <row r="11" spans="1:8" x14ac:dyDescent="0.2">
      <c r="A11" t="s">
        <v>60</v>
      </c>
      <c r="B11" t="s">
        <v>19</v>
      </c>
      <c r="C11" t="s">
        <v>20</v>
      </c>
      <c r="D11" t="s">
        <v>20</v>
      </c>
      <c r="E11">
        <v>5</v>
      </c>
      <c r="F11">
        <v>1</v>
      </c>
      <c r="G11">
        <v>7</v>
      </c>
      <c r="H11">
        <v>28</v>
      </c>
    </row>
    <row r="12" spans="1:8" x14ac:dyDescent="0.2">
      <c r="A12" t="s">
        <v>61</v>
      </c>
      <c r="B12" t="s">
        <v>19</v>
      </c>
      <c r="C12" t="s">
        <v>21</v>
      </c>
      <c r="D12" t="s">
        <v>21</v>
      </c>
      <c r="E12">
        <v>3</v>
      </c>
      <c r="F12">
        <v>3</v>
      </c>
      <c r="G12">
        <v>10</v>
      </c>
      <c r="H12">
        <v>50</v>
      </c>
    </row>
    <row r="13" spans="1:8" x14ac:dyDescent="0.2">
      <c r="A13" t="s">
        <v>62</v>
      </c>
      <c r="B13" t="s">
        <v>22</v>
      </c>
      <c r="C13" t="s">
        <v>23</v>
      </c>
      <c r="D13" t="s">
        <v>63</v>
      </c>
      <c r="E13">
        <v>3</v>
      </c>
      <c r="F13">
        <v>7</v>
      </c>
      <c r="G13">
        <v>30</v>
      </c>
      <c r="H13">
        <v>60</v>
      </c>
    </row>
    <row r="14" spans="1:8" x14ac:dyDescent="0.2">
      <c r="A14" t="s">
        <v>64</v>
      </c>
      <c r="B14" t="s">
        <v>22</v>
      </c>
      <c r="C14" t="s">
        <v>65</v>
      </c>
      <c r="D14" t="s">
        <v>66</v>
      </c>
      <c r="E14">
        <v>3</v>
      </c>
      <c r="F14">
        <v>30</v>
      </c>
      <c r="G14">
        <v>90</v>
      </c>
      <c r="H14">
        <v>180</v>
      </c>
    </row>
    <row r="15" spans="1:8" x14ac:dyDescent="0.2">
      <c r="A15" t="s">
        <v>67</v>
      </c>
      <c r="B15" t="s">
        <v>22</v>
      </c>
      <c r="C15" t="s">
        <v>68</v>
      </c>
      <c r="D15" t="s">
        <v>69</v>
      </c>
      <c r="E15">
        <v>3</v>
      </c>
      <c r="F15">
        <v>60</v>
      </c>
      <c r="G15">
        <v>180</v>
      </c>
      <c r="H15">
        <v>420</v>
      </c>
    </row>
    <row r="16" spans="1:8" x14ac:dyDescent="0.2">
      <c r="A16" t="s">
        <v>70</v>
      </c>
      <c r="B16" t="s">
        <v>26</v>
      </c>
      <c r="C16" t="s">
        <v>71</v>
      </c>
      <c r="D16" t="s">
        <v>72</v>
      </c>
      <c r="E16">
        <v>3</v>
      </c>
      <c r="F16">
        <v>7</v>
      </c>
      <c r="G16">
        <v>14</v>
      </c>
      <c r="H16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algorithm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Stephan Betz</dc:creator>
  <cp:keywords/>
  <dc:description/>
  <cp:lastModifiedBy>Stephan Betz</cp:lastModifiedBy>
  <cp:revision/>
  <dcterms:created xsi:type="dcterms:W3CDTF">2025-09-15T01:13:53Z</dcterms:created>
  <dcterms:modified xsi:type="dcterms:W3CDTF">2025-12-28T20:03:51Z</dcterms:modified>
  <cp:category/>
  <cp:contentStatus/>
</cp:coreProperties>
</file>