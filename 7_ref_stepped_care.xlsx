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20" documentId="8_{45F78791-068C-D546-BB81-32E48AF37A10}" xr6:coauthVersionLast="47" xr6:coauthVersionMax="47" xr10:uidLastSave="{A20CDF96-83FD-A749-B92B-A71861E353C9}"/>
  <bookViews>
    <workbookView xWindow="0" yWindow="660" windowWidth="19420" windowHeight="10300" xr2:uid="{31220802-E821-C141-A762-2E2F44E47C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F8" i="1"/>
  <c r="E8" i="1"/>
  <c r="D8" i="1"/>
  <c r="C8" i="1"/>
  <c r="H3" i="1"/>
  <c r="G3" i="1"/>
  <c r="F3" i="1"/>
</calcChain>
</file>

<file path=xl/sharedStrings.xml><?xml version="1.0" encoding="utf-8"?>
<sst xmlns="http://schemas.openxmlformats.org/spreadsheetml/2006/main" count="15" uniqueCount="15">
  <si>
    <t>LOS in days</t>
  </si>
  <si>
    <t>Treatment</t>
  </si>
  <si>
    <t>LOC_Step_1</t>
  </si>
  <si>
    <t>LOC_Step_2</t>
  </si>
  <si>
    <t>LOC_Step_3</t>
  </si>
  <si>
    <t>LOC_Step_4</t>
  </si>
  <si>
    <t>LOC_Step_5</t>
  </si>
  <si>
    <t>LOC_Step_6</t>
  </si>
  <si>
    <t>ED - 5/day + 2</t>
  </si>
  <si>
    <t>Inpt - 5.5 / day + 2</t>
  </si>
  <si>
    <t>PCP</t>
  </si>
  <si>
    <t>Nursing</t>
  </si>
  <si>
    <t>Spec</t>
  </si>
  <si>
    <t>Community Psych</t>
  </si>
  <si>
    <t>Med 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</si>
</sst>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0" xfId="1" applyAlignment="1"/>
    <xf numFmtId="0" fontId="2" fillId="3" borderId="0" xfId="0" applyFont="1" applyFill="1"/>
    <xf numFmtId="0" fontId="0" fillId="3" borderId="0" xfId="0" applyFill="1"/>
    <xf numFmtId="1" fontId="2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D2D-1CD9-9E48-A1B7-6CECFAC6DC96}">
  <dimension ref="A1:I8"/>
  <sheetViews>
    <sheetView tabSelected="1" workbookViewId="0">
      <selection activeCell="I3" sqref="I3"/>
    </sheetView>
  </sheetViews>
  <sheetFormatPr baseColWidth="10" defaultColWidth="11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/>
    </row>
    <row r="2" spans="1:9" x14ac:dyDescent="0.2">
      <c r="A2">
        <v>365</v>
      </c>
      <c r="B2" s="3" t="s">
        <v>8</v>
      </c>
      <c r="C2" s="4">
        <v>12</v>
      </c>
      <c r="D2" s="4">
        <v>12</v>
      </c>
      <c r="E2" s="4">
        <v>17</v>
      </c>
      <c r="F2" s="4">
        <v>17</v>
      </c>
      <c r="G2" s="4">
        <v>52</v>
      </c>
      <c r="H2" s="4">
        <v>52</v>
      </c>
      <c r="I2" s="5"/>
    </row>
    <row r="3" spans="1:9" x14ac:dyDescent="0.2">
      <c r="A3">
        <v>365</v>
      </c>
      <c r="B3" s="3" t="s">
        <v>9</v>
      </c>
      <c r="C3" s="4">
        <v>0</v>
      </c>
      <c r="D3" s="4">
        <v>0</v>
      </c>
      <c r="E3" s="4">
        <v>0</v>
      </c>
      <c r="F3" s="4">
        <f>14*6</f>
        <v>84</v>
      </c>
      <c r="G3" s="4">
        <f>17*6</f>
        <v>102</v>
      </c>
      <c r="H3" s="4">
        <f>17*7</f>
        <v>119</v>
      </c>
      <c r="I3" s="5"/>
    </row>
    <row r="4" spans="1:9" x14ac:dyDescent="0.2">
      <c r="A4">
        <v>365</v>
      </c>
      <c r="B4" s="3" t="s">
        <v>10</v>
      </c>
      <c r="C4" s="2">
        <v>1</v>
      </c>
      <c r="D4" s="2">
        <v>6</v>
      </c>
      <c r="E4" s="2">
        <v>6</v>
      </c>
      <c r="F4" s="2">
        <v>6</v>
      </c>
      <c r="G4" s="2">
        <v>6</v>
      </c>
      <c r="H4" s="2">
        <v>6</v>
      </c>
    </row>
    <row r="5" spans="1:9" x14ac:dyDescent="0.2">
      <c r="A5">
        <v>365</v>
      </c>
      <c r="B5" s="3" t="s">
        <v>11</v>
      </c>
      <c r="C5" s="2">
        <v>0</v>
      </c>
      <c r="D5" s="2">
        <v>2</v>
      </c>
      <c r="E5" s="2">
        <v>2</v>
      </c>
      <c r="F5" s="2">
        <v>2</v>
      </c>
      <c r="G5" s="2">
        <v>2</v>
      </c>
      <c r="H5" s="2">
        <v>2</v>
      </c>
    </row>
    <row r="6" spans="1:9" x14ac:dyDescent="0.2">
      <c r="A6">
        <v>365</v>
      </c>
      <c r="B6" s="3" t="s">
        <v>12</v>
      </c>
      <c r="C6" s="2">
        <v>0</v>
      </c>
      <c r="D6" s="2">
        <v>3</v>
      </c>
      <c r="E6" s="2">
        <v>3</v>
      </c>
      <c r="F6" s="2">
        <v>3</v>
      </c>
      <c r="G6" s="2">
        <v>3</v>
      </c>
      <c r="H6" s="2">
        <v>6</v>
      </c>
    </row>
    <row r="7" spans="1:9" x14ac:dyDescent="0.2">
      <c r="A7">
        <v>365</v>
      </c>
      <c r="B7" s="3" t="s">
        <v>13</v>
      </c>
      <c r="C7" s="6">
        <v>158</v>
      </c>
      <c r="D7" s="6">
        <v>182</v>
      </c>
      <c r="E7" s="6">
        <v>191</v>
      </c>
      <c r="F7" s="6">
        <v>191</v>
      </c>
      <c r="G7" s="6">
        <v>191</v>
      </c>
      <c r="H7" s="6">
        <v>191</v>
      </c>
    </row>
    <row r="8" spans="1:9" x14ac:dyDescent="0.2">
      <c r="A8">
        <v>365</v>
      </c>
      <c r="B8" s="3" t="s">
        <v>14</v>
      </c>
      <c r="C8" s="6">
        <f>12+C7</f>
        <v>170</v>
      </c>
      <c r="D8" s="6">
        <f>25+D7</f>
        <v>207</v>
      </c>
      <c r="E8" s="6">
        <f>31+E7</f>
        <v>222</v>
      </c>
      <c r="F8" s="2">
        <f>17*2+F7</f>
        <v>225</v>
      </c>
      <c r="G8" s="6">
        <f>52-14+G7</f>
        <v>229</v>
      </c>
      <c r="H8" s="6">
        <f>38+H7</f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Betz</dc:creator>
  <cp:keywords/>
  <dc:description/>
  <cp:lastModifiedBy>Stephan Betz</cp:lastModifiedBy>
  <cp:revision/>
  <dcterms:created xsi:type="dcterms:W3CDTF">2025-11-16T15:39:25Z</dcterms:created>
  <dcterms:modified xsi:type="dcterms:W3CDTF">2026-01-30T19:56:32Z</dcterms:modified>
  <cp:category/>
  <cp:contentStatus/>
</cp:coreProperties>
</file>